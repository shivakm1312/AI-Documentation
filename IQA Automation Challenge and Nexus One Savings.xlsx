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fssindia.sharepoint.com/sites/TCoE_Projects/Shared Documents/Project Documentation/IQA Timesheet Productivity/"/>
    </mc:Choice>
  </mc:AlternateContent>
  <xr:revisionPtr revIDLastSave="877" documentId="11_09E97D2DA0E70EAE0EC42E85378DEDC264062F60" xr6:coauthVersionLast="47" xr6:coauthVersionMax="47" xr10:uidLastSave="{9F915299-D1D4-44AA-B793-75C685A78329}"/>
  <bookViews>
    <workbookView xWindow="-100" yWindow="-100" windowWidth="21467" windowHeight="11443" tabRatio="487" xr2:uid="{00000000-000D-0000-FFFF-FFFF00000000}"/>
  </bookViews>
  <sheets>
    <sheet name="Nexus One Savings" sheetId="1" r:id="rId1"/>
    <sheet name="Pipeline CR's" sheetId="3" r:id="rId2"/>
    <sheet name="Common Automation Challenges" sheetId="2" r:id="rId3"/>
  </sheets>
  <definedNames>
    <definedName name="_xlnm._FilterDatabase" localSheetId="0" hidden="1">'Nexus One Savings'!$A$2:$V$48</definedName>
    <definedName name="_xlnm._FilterDatabase" localSheetId="1" hidden="1">'Pipeline CR''s'!$A$2:$M$49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3" i="1" l="1"/>
  <c r="Y13" i="1"/>
  <c r="AA14" i="1"/>
  <c r="AD14" i="1" s="1"/>
  <c r="I13" i="1"/>
  <c r="M31" i="3"/>
  <c r="N31" i="3" s="1"/>
  <c r="H15" i="3"/>
  <c r="I15" i="3" s="1"/>
  <c r="H16" i="3"/>
  <c r="I16" i="3" s="1"/>
  <c r="H17" i="3"/>
  <c r="I17" i="3" s="1"/>
  <c r="H18" i="3"/>
  <c r="I18" i="3" s="1"/>
  <c r="H19" i="3"/>
  <c r="I19" i="3" s="1"/>
  <c r="H20" i="3"/>
  <c r="I20" i="3" s="1"/>
  <c r="H21" i="3"/>
  <c r="I21" i="3" s="1"/>
  <c r="H22" i="3"/>
  <c r="I22" i="3" s="1"/>
  <c r="H23" i="3"/>
  <c r="I23" i="3" s="1"/>
  <c r="H24" i="3"/>
  <c r="I24" i="3" s="1"/>
  <c r="H25" i="3"/>
  <c r="I25" i="3" s="1"/>
  <c r="H26" i="3"/>
  <c r="I26" i="3" s="1"/>
  <c r="H27" i="3"/>
  <c r="I27" i="3" s="1"/>
  <c r="H28" i="3"/>
  <c r="I28" i="3" s="1"/>
  <c r="H29" i="3"/>
  <c r="I29" i="3" s="1"/>
  <c r="H30" i="3"/>
  <c r="I30" i="3" s="1"/>
  <c r="H31" i="3"/>
  <c r="I31" i="3" s="1"/>
  <c r="H32" i="3"/>
  <c r="I32" i="3" s="1"/>
  <c r="H33" i="3"/>
  <c r="I33" i="3" s="1"/>
  <c r="H34" i="3"/>
  <c r="I34" i="3" s="1"/>
  <c r="H35" i="3"/>
  <c r="I35" i="3" s="1"/>
  <c r="H36" i="3"/>
  <c r="I36" i="3" s="1"/>
  <c r="H37" i="3"/>
  <c r="I37" i="3" s="1"/>
  <c r="H38" i="3"/>
  <c r="I38" i="3" s="1"/>
  <c r="H39" i="3"/>
  <c r="I39" i="3" s="1"/>
  <c r="H40" i="3"/>
  <c r="I40" i="3" s="1"/>
  <c r="H41" i="3"/>
  <c r="I41" i="3" s="1"/>
  <c r="H42" i="3"/>
  <c r="I42" i="3" s="1"/>
  <c r="H43" i="3"/>
  <c r="H44" i="3"/>
  <c r="H45" i="3"/>
  <c r="H46" i="3"/>
  <c r="H47" i="3"/>
  <c r="G20" i="1"/>
  <c r="AG14" i="1"/>
  <c r="AH14" i="1" s="1"/>
  <c r="Y14" i="1"/>
  <c r="H14" i="3"/>
  <c r="I14" i="3" s="1"/>
  <c r="V29" i="1"/>
  <c r="M29" i="1" s="1"/>
  <c r="V28" i="1"/>
  <c r="M28" i="1" s="1"/>
  <c r="I25" i="1"/>
  <c r="I26" i="1"/>
  <c r="I27" i="1"/>
  <c r="I28" i="1"/>
  <c r="I29" i="1"/>
  <c r="I30" i="1"/>
  <c r="I31" i="1"/>
  <c r="I32" i="1"/>
  <c r="G25" i="1"/>
  <c r="G26" i="1"/>
  <c r="G27" i="1"/>
  <c r="G28" i="1"/>
  <c r="G29" i="1"/>
  <c r="G30" i="1"/>
  <c r="G31" i="1"/>
  <c r="G32" i="1"/>
  <c r="R25" i="1"/>
  <c r="H25" i="1" s="1"/>
  <c r="R26" i="1"/>
  <c r="H26" i="1" s="1"/>
  <c r="R27" i="1"/>
  <c r="H27" i="1" s="1"/>
  <c r="R28" i="1"/>
  <c r="H28" i="1" s="1"/>
  <c r="H29" i="1"/>
  <c r="V48" i="1"/>
  <c r="M48" i="1" s="1"/>
  <c r="V4" i="1"/>
  <c r="M4" i="1" s="1"/>
  <c r="V5" i="1"/>
  <c r="M5" i="1" s="1"/>
  <c r="V6" i="1"/>
  <c r="M6" i="1" s="1"/>
  <c r="V7" i="1"/>
  <c r="M7" i="1" s="1"/>
  <c r="V8" i="1"/>
  <c r="M8" i="1" s="1"/>
  <c r="V9" i="1"/>
  <c r="M9" i="1" s="1"/>
  <c r="V10" i="1"/>
  <c r="M10" i="1" s="1"/>
  <c r="V11" i="1"/>
  <c r="M11" i="1" s="1"/>
  <c r="V12" i="1"/>
  <c r="M12" i="1" s="1"/>
  <c r="V13" i="1"/>
  <c r="M13" i="1" s="1"/>
  <c r="V14" i="1"/>
  <c r="M14" i="1" s="1"/>
  <c r="V15" i="1"/>
  <c r="M15" i="1" s="1"/>
  <c r="V16" i="1"/>
  <c r="M16" i="1" s="1"/>
  <c r="V17" i="1"/>
  <c r="M17" i="1" s="1"/>
  <c r="V18" i="1"/>
  <c r="M18" i="1" s="1"/>
  <c r="V19" i="1"/>
  <c r="M19" i="1" s="1"/>
  <c r="V20" i="1"/>
  <c r="M20" i="1" s="1"/>
  <c r="V21" i="1"/>
  <c r="M21" i="1" s="1"/>
  <c r="V22" i="1"/>
  <c r="M22" i="1" s="1"/>
  <c r="V23" i="1"/>
  <c r="M23" i="1" s="1"/>
  <c r="V24" i="1"/>
  <c r="M24" i="1" s="1"/>
  <c r="V25" i="1"/>
  <c r="M25" i="1" s="1"/>
  <c r="V26" i="1"/>
  <c r="M26" i="1" s="1"/>
  <c r="V27" i="1"/>
  <c r="M27" i="1" s="1"/>
  <c r="V30" i="1"/>
  <c r="M30" i="1" s="1"/>
  <c r="V31" i="1"/>
  <c r="M31" i="1" s="1"/>
  <c r="V32" i="1"/>
  <c r="M32" i="1" s="1"/>
  <c r="V33" i="1"/>
  <c r="M33" i="1" s="1"/>
  <c r="V34" i="1"/>
  <c r="M34" i="1" s="1"/>
  <c r="V35" i="1"/>
  <c r="M35" i="1" s="1"/>
  <c r="V36" i="1"/>
  <c r="M36" i="1" s="1"/>
  <c r="V37" i="1"/>
  <c r="M37" i="1" s="1"/>
  <c r="V38" i="1"/>
  <c r="M38" i="1" s="1"/>
  <c r="V39" i="1"/>
  <c r="M39" i="1" s="1"/>
  <c r="V40" i="1"/>
  <c r="M40" i="1" s="1"/>
  <c r="V41" i="1"/>
  <c r="M41" i="1" s="1"/>
  <c r="V42" i="1"/>
  <c r="M42" i="1" s="1"/>
  <c r="V43" i="1"/>
  <c r="M43" i="1" s="1"/>
  <c r="V44" i="1"/>
  <c r="M44" i="1" s="1"/>
  <c r="V45" i="1"/>
  <c r="M45" i="1" s="1"/>
  <c r="V46" i="1"/>
  <c r="M46" i="1" s="1"/>
  <c r="V47" i="1"/>
  <c r="M47" i="1" s="1"/>
  <c r="R3" i="1"/>
  <c r="H3" i="1" s="1"/>
  <c r="G16" i="1"/>
  <c r="H16" i="1"/>
  <c r="R18" i="1"/>
  <c r="H18" i="1" s="1"/>
  <c r="I18" i="1"/>
  <c r="G18" i="1"/>
  <c r="R14" i="1"/>
  <c r="H14" i="1" s="1"/>
  <c r="G19" i="1"/>
  <c r="G13" i="1"/>
  <c r="R32" i="1"/>
  <c r="H32" i="1" s="1"/>
  <c r="H31" i="1"/>
  <c r="R30" i="1"/>
  <c r="H30" i="1" s="1"/>
  <c r="R24" i="1"/>
  <c r="H24" i="1" s="1"/>
  <c r="I24" i="1"/>
  <c r="G24" i="1"/>
  <c r="R23" i="1"/>
  <c r="H23" i="1" s="1"/>
  <c r="I23" i="1"/>
  <c r="G23" i="1"/>
  <c r="R22" i="1"/>
  <c r="H22" i="1" s="1"/>
  <c r="I22" i="1"/>
  <c r="G22" i="1"/>
  <c r="R21" i="1"/>
  <c r="H21" i="1" s="1"/>
  <c r="I21" i="1"/>
  <c r="G21" i="1"/>
  <c r="R20" i="1"/>
  <c r="H20" i="1" s="1"/>
  <c r="I20" i="1"/>
  <c r="R19" i="1"/>
  <c r="H19" i="1" s="1"/>
  <c r="I19" i="1"/>
  <c r="R17" i="1"/>
  <c r="H17" i="1" s="1"/>
  <c r="I17" i="1"/>
  <c r="G17" i="1"/>
  <c r="H15" i="1"/>
  <c r="I15" i="1"/>
  <c r="G15" i="1"/>
  <c r="I14" i="1"/>
  <c r="G14" i="1"/>
  <c r="R13" i="1"/>
  <c r="H13" i="1" s="1"/>
  <c r="R12" i="1"/>
  <c r="H12" i="1" s="1"/>
  <c r="I12" i="1"/>
  <c r="G12" i="1"/>
  <c r="R11" i="1"/>
  <c r="H11" i="1" s="1"/>
  <c r="I11" i="1"/>
  <c r="G11" i="1"/>
  <c r="R10" i="1"/>
  <c r="H10" i="1" s="1"/>
  <c r="I10" i="1"/>
  <c r="G10" i="1"/>
  <c r="R9" i="1"/>
  <c r="H9" i="1" s="1"/>
  <c r="I9" i="1"/>
  <c r="G9" i="1"/>
  <c r="R8" i="1"/>
  <c r="H8" i="1" s="1"/>
  <c r="I8" i="1"/>
  <c r="G8" i="1"/>
  <c r="R7" i="1"/>
  <c r="H7" i="1" s="1"/>
  <c r="I7" i="1"/>
  <c r="G7" i="1"/>
  <c r="R6" i="1"/>
  <c r="H6" i="1" s="1"/>
  <c r="I6" i="1"/>
  <c r="G6" i="1"/>
  <c r="R5" i="1"/>
  <c r="H5" i="1" s="1"/>
  <c r="I5" i="1"/>
  <c r="G5" i="1"/>
  <c r="R4" i="1"/>
  <c r="H4" i="1" s="1"/>
  <c r="I4" i="1"/>
  <c r="G4" i="1"/>
  <c r="V3" i="1"/>
  <c r="M3" i="1" s="1"/>
  <c r="I3" i="1"/>
  <c r="G3" i="1"/>
</calcChain>
</file>

<file path=xl/sharedStrings.xml><?xml version="1.0" encoding="utf-8"?>
<sst xmlns="http://schemas.openxmlformats.org/spreadsheetml/2006/main" count="585" uniqueCount="163">
  <si>
    <t>Product Automation</t>
  </si>
  <si>
    <t>Regression Testing Effort Saving</t>
  </si>
  <si>
    <t>Functional Efforts Saving</t>
  </si>
  <si>
    <t>S.Ṇo</t>
  </si>
  <si>
    <t>Product</t>
  </si>
  <si>
    <t>Client / Project</t>
  </si>
  <si>
    <t>SIT/UAT Environment</t>
  </si>
  <si>
    <t>Implementation / AMS</t>
  </si>
  <si>
    <t>Automation Status (Fully Automated / Partial Automated)</t>
  </si>
  <si>
    <t>Automated %</t>
  </si>
  <si>
    <t>Yet to Automate %</t>
  </si>
  <si>
    <t>Not Automatable %</t>
  </si>
  <si>
    <t>Automation Challenges</t>
  </si>
  <si>
    <t>Mitigation Options to Automate or Achieve ROI</t>
  </si>
  <si>
    <t>ROI - Quality Improvement</t>
  </si>
  <si>
    <t>ROI - Effort &amp; Timeline Reduction</t>
  </si>
  <si>
    <t>ROI - Cost Reduction (Resource Optimization)</t>
  </si>
  <si>
    <t>Priority (P1 / P2 / P3)</t>
  </si>
  <si>
    <t>Total Testcase</t>
  </si>
  <si>
    <t>Automated Cases Count</t>
  </si>
  <si>
    <t>Yet to Automate Cases Count</t>
  </si>
  <si>
    <t>Not Automatable Cases Count</t>
  </si>
  <si>
    <t>Regression Effort (Manual Testing) in days</t>
  </si>
  <si>
    <t>Regression Effort indays (Automation Testing + Report Analysis)</t>
  </si>
  <si>
    <t>Savings in days (ROI)</t>
  </si>
  <si>
    <t>SIT Planned Efforts(in Days)</t>
  </si>
  <si>
    <t>SIT Efforts taken till 22-Oct-26(in Days)</t>
  </si>
  <si>
    <t>SIT Pending Efforts</t>
  </si>
  <si>
    <t>No.Test cases Executed</t>
  </si>
  <si>
    <t>No.Test cases Pending Executed</t>
  </si>
  <si>
    <t>Pending Testcases Automated</t>
  </si>
  <si>
    <t>Pending Testcases Not able to Automated</t>
  </si>
  <si>
    <t>Pending Testcases -  Automatable</t>
  </si>
  <si>
    <t>Functional Effort (Manual Testing) in days</t>
  </si>
  <si>
    <t>Functional Effort indays (Automation Testing + Report Analysis)</t>
  </si>
  <si>
    <t>Functional Effort Savings in days (ROI)</t>
  </si>
  <si>
    <t>Blaze PG</t>
  </si>
  <si>
    <t>DU</t>
  </si>
  <si>
    <t>Bank SIT</t>
  </si>
  <si>
    <t>Partial Automated</t>
  </si>
  <si>
    <t>CAPTCHA, OTP, MFA validations; Frequent UI changes; Unstable environment</t>
  </si>
  <si>
    <t>Provide test bypass for OTP/CAPTCHA; stable automation environment; automation-ready UI standards</t>
  </si>
  <si>
    <t>+25% defect detection</t>
  </si>
  <si>
    <t>2 QA FTE equivalent</t>
  </si>
  <si>
    <t>P1</t>
  </si>
  <si>
    <t>PG</t>
  </si>
  <si>
    <t>Ecentric</t>
  </si>
  <si>
    <t>FSS SIT</t>
  </si>
  <si>
    <t>Logs, DB validation is not possible because of access related to access logs.</t>
  </si>
  <si>
    <t>Logs and DB access to be provided in SIT env</t>
  </si>
  <si>
    <t>9 days saved per regression cycle</t>
  </si>
  <si>
    <t>Al-Rajhi</t>
  </si>
  <si>
    <t>Bank UAT</t>
  </si>
  <si>
    <t>Logs, DB and Applepay, Samsung pay and SDK automation is not possible because it can be accessable in UAT environment only</t>
  </si>
  <si>
    <t>Logs, DB and Whitelist URLs for Applepay and samsung pay, enable automation access in VDI.</t>
  </si>
  <si>
    <t>+40% defect detection</t>
  </si>
  <si>
    <t>11 days saved per regression cycle</t>
  </si>
  <si>
    <t>Neoleap</t>
  </si>
  <si>
    <t>BANK VDI Inside Bank SIT(Automation tools cannot access applications directly due to network restrictions.)</t>
  </si>
  <si>
    <t>Whitelist URLs, provide OTP bypass, enable automation access in VDI.</t>
  </si>
  <si>
    <t>14 days saved per regression cycle</t>
  </si>
  <si>
    <t>KNET</t>
  </si>
  <si>
    <t>Not able to Automate</t>
  </si>
  <si>
    <t>No frequent releases currently</t>
  </si>
  <si>
    <t>1 QA FTE equivalent</t>
  </si>
  <si>
    <t>P2</t>
  </si>
  <si>
    <t>Pinelabs-ENBD</t>
  </si>
  <si>
    <t>Applepay, Samsung pay and SDK automation is not possible because it can be accessable in UAT environment only</t>
  </si>
  <si>
    <t>Whitelist URLs for Applepay and samsung pay, enable automation access in VDI.</t>
  </si>
  <si>
    <t>+50% defect detection</t>
  </si>
  <si>
    <t>Pinelabs-WIO</t>
  </si>
  <si>
    <t>FAB</t>
  </si>
  <si>
    <t>BANK UAT</t>
  </si>
  <si>
    <t>OTP, Wallet Transactions, QR and Portal Inside VDI</t>
  </si>
  <si>
    <t>OAB</t>
  </si>
  <si>
    <t>CAPTCHA &amp; OTP</t>
  </si>
  <si>
    <t>Provide OTP/CAPTCHA bypass and stable automation-ready environment</t>
  </si>
  <si>
    <t>+45% defect detection</t>
  </si>
  <si>
    <t>8 days saved per regression cycle</t>
  </si>
  <si>
    <t>NBO</t>
  </si>
  <si>
    <t>BANK SIT</t>
  </si>
  <si>
    <t>5 days saved per regression cycle</t>
  </si>
  <si>
    <t>Blaze CMS</t>
  </si>
  <si>
    <t>SBI</t>
  </si>
  <si>
    <t>We need to fetch data from DCMS 1.0(Monolith) to microservice that integration is not availble at SIT and some external services integration is not available at SIT</t>
  </si>
  <si>
    <t>By using Mock we can cover sanity</t>
  </si>
  <si>
    <t>Kotak</t>
  </si>
  <si>
    <t>AMS</t>
  </si>
  <si>
    <t>Environment is not available, Project is in On-hold status</t>
  </si>
  <si>
    <t>CBI</t>
  </si>
  <si>
    <t>We had delivered this project very short period so we did not automate due to bandwidth unavailability</t>
  </si>
  <si>
    <t>PSB</t>
  </si>
  <si>
    <t>MAPS</t>
  </si>
  <si>
    <t>QNB</t>
  </si>
  <si>
    <t>SADAD</t>
  </si>
  <si>
    <t>Recon</t>
  </si>
  <si>
    <t>Indian Bank(IMPS and UPI)</t>
  </si>
  <si>
    <t>Implementation</t>
  </si>
  <si>
    <t>Skip SIT</t>
  </si>
  <si>
    <t>HDFC</t>
  </si>
  <si>
    <t>SIT is carried out in Bank SIT Environment</t>
  </si>
  <si>
    <t xml:space="preserve">Kotak </t>
  </si>
  <si>
    <t>IDFC</t>
  </si>
  <si>
    <t>Airtel</t>
  </si>
  <si>
    <t>IPPB</t>
  </si>
  <si>
    <t>Bandhan Bank</t>
  </si>
  <si>
    <t>BFL</t>
  </si>
  <si>
    <t>Ujjivan Bank</t>
  </si>
  <si>
    <t>NI_Settlement</t>
  </si>
  <si>
    <t>NI_Recon</t>
  </si>
  <si>
    <t>NI_ChargeBack</t>
  </si>
  <si>
    <t>SIT is carried out in Bank UAT Environment</t>
  </si>
  <si>
    <t>ADCB</t>
  </si>
  <si>
    <t>QNB Alhali</t>
  </si>
  <si>
    <t>CMS</t>
  </si>
  <si>
    <t>SBI PCMS</t>
  </si>
  <si>
    <t>Bank Onsite SIT</t>
  </si>
  <si>
    <t>SIT has been carried out in the Client environment</t>
  </si>
  <si>
    <t>FSS SIT Environment to be created with external dependencies addressed</t>
  </si>
  <si>
    <t> </t>
  </si>
  <si>
    <t>SBI DCMS</t>
  </si>
  <si>
    <t>UJJIVAN</t>
  </si>
  <si>
    <t>CGGB</t>
  </si>
  <si>
    <t>P3</t>
  </si>
  <si>
    <t>ALAnsari</t>
  </si>
  <si>
    <t>FSS UAT</t>
  </si>
  <si>
    <t> Testing is performed through RDP access to the jump server, resulting in limited accessibility and reduced testing efficiency.</t>
  </si>
  <si>
    <t> Need to establish direct access to the UAT application to improve testing efficiency and support automation activities.</t>
  </si>
  <si>
    <t>Sharaf</t>
  </si>
  <si>
    <t>Comera Pay</t>
  </si>
  <si>
    <t>ICICI DCMS</t>
  </si>
  <si>
    <t>ICICI PCMS</t>
  </si>
  <si>
    <t>Limited automation coverage in SIT due to unavailable external dependencies.</t>
  </si>
  <si>
    <t> Create a dedicated test environment with all required external dependencies integrated to enable end-to-end automation.</t>
  </si>
  <si>
    <t>IndusInd</t>
  </si>
  <si>
    <t>BOB</t>
  </si>
  <si>
    <t>TMS</t>
  </si>
  <si>
    <t>SAMA</t>
  </si>
  <si>
    <t>Bank VDI Environment as there are external Dependence</t>
  </si>
  <si>
    <t>Product Details</t>
  </si>
  <si>
    <t>CR's Count</t>
  </si>
  <si>
    <t>CR Manual Efforts</t>
  </si>
  <si>
    <t>CR Automation Efforts</t>
  </si>
  <si>
    <t>Savings</t>
  </si>
  <si>
    <t>ROI</t>
  </si>
  <si>
    <t>KVB</t>
  </si>
  <si>
    <t>Common Automation Challenges</t>
  </si>
  <si>
    <t>CAPTCHA / OTP restrictions</t>
  </si>
  <si>
    <t>Multi-factor authentication (MFA)</t>
  </si>
  <si>
    <t>Frequent UI changes</t>
  </si>
  <si>
    <t>Dynamic object identifiers</t>
  </si>
  <si>
    <t>Third-party integrations</t>
  </si>
  <si>
    <t>Environment instability</t>
  </si>
  <si>
    <t>Test data dependency</t>
  </si>
  <si>
    <t>Delayed deployments</t>
  </si>
  <si>
    <t>Frequent requirement changes</t>
  </si>
  <si>
    <t>Legacy technologies</t>
  </si>
  <si>
    <t>File upload/download validations</t>
  </si>
  <si>
    <t>PDF/Image validation</t>
  </si>
  <si>
    <t>Limited API availability</t>
  </si>
  <si>
    <t>Vendor/Bank dependency</t>
  </si>
  <si>
    <t>Short release cycles</t>
  </si>
  <si>
    <t>Absence of dedicated automation environment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</si>
</sst>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0.5"/>
      <color theme="1"/>
      <name val="Segoe UI"/>
    </font>
    <font>
      <b/>
      <sz val="11"/>
      <color rgb="FFFFFFFF"/>
      <name val="Calibri"/>
    </font>
    <font>
      <sz val="11"/>
      <color theme="1"/>
      <name val="Calibri"/>
      <charset val="134"/>
    </font>
    <font>
      <sz val="11"/>
      <color rgb="FF000000"/>
      <name val="Calibri"/>
    </font>
    <font>
      <sz val="11"/>
      <color theme="1"/>
      <name val="Calibri"/>
    </font>
    <font>
      <sz val="11"/>
      <color rgb="FF000000"/>
      <name val="Calibri"/>
      <charset val="134"/>
    </font>
    <font>
      <sz val="11"/>
      <color rgb="FF000000"/>
      <name val="Calibri"/>
      <charset val="1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0" xfId="0" applyAlignment="1">
      <alignment wrapText="1"/>
    </xf>
    <xf numFmtId="0" fontId="4" fillId="2" borderId="1" xfId="0" applyFont="1" applyFill="1" applyBorder="1" applyAlignment="1">
      <alignment horizontal="left" wrapText="1"/>
    </xf>
    <xf numFmtId="0" fontId="5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left" wrapText="1"/>
    </xf>
    <xf numFmtId="0" fontId="7" fillId="4" borderId="1" xfId="0" applyFont="1" applyFill="1" applyBorder="1" applyAlignment="1">
      <alignment wrapText="1"/>
    </xf>
    <xf numFmtId="9" fontId="7" fillId="4" borderId="1" xfId="0" applyNumberFormat="1" applyFont="1" applyFill="1" applyBorder="1" applyAlignment="1">
      <alignment horizontal="center" wrapText="1"/>
    </xf>
    <xf numFmtId="0" fontId="6" fillId="0" borderId="1" xfId="0" applyFont="1" applyBorder="1" applyAlignment="1">
      <alignment horizontal="left" wrapText="1"/>
    </xf>
    <xf numFmtId="0" fontId="5" fillId="0" borderId="1" xfId="0" applyFont="1" applyBorder="1" applyAlignment="1">
      <alignment wrapText="1"/>
    </xf>
    <xf numFmtId="0" fontId="7" fillId="4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9" fontId="5" fillId="0" borderId="1" xfId="0" applyNumberFormat="1" applyFont="1" applyBorder="1" applyAlignment="1">
      <alignment wrapText="1"/>
    </xf>
    <xf numFmtId="0" fontId="5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10" fillId="0" borderId="1" xfId="0" applyFont="1" applyBorder="1" applyAlignment="1">
      <alignment horizontal="left" wrapText="1"/>
    </xf>
    <xf numFmtId="0" fontId="7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wrapText="1"/>
    </xf>
    <xf numFmtId="9" fontId="7" fillId="5" borderId="1" xfId="0" applyNumberFormat="1" applyFont="1" applyFill="1" applyBorder="1" applyAlignment="1">
      <alignment horizontal="center" wrapText="1"/>
    </xf>
    <xf numFmtId="0" fontId="6" fillId="3" borderId="1" xfId="0" applyFont="1" applyFill="1" applyBorder="1"/>
    <xf numFmtId="9" fontId="6" fillId="3" borderId="1" xfId="0" applyNumberFormat="1" applyFont="1" applyFill="1" applyBorder="1" applyAlignment="1">
      <alignment horizontal="center" wrapText="1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8" fillId="0" borderId="1" xfId="0" applyFont="1" applyBorder="1"/>
    <xf numFmtId="0" fontId="8" fillId="0" borderId="1" xfId="0" applyFont="1" applyBorder="1" applyAlignment="1">
      <alignment horizontal="left"/>
    </xf>
    <xf numFmtId="0" fontId="11" fillId="0" borderId="1" xfId="0" applyFont="1" applyBorder="1"/>
    <xf numFmtId="9" fontId="0" fillId="0" borderId="1" xfId="0" applyNumberFormat="1" applyBorder="1"/>
    <xf numFmtId="0" fontId="4" fillId="6" borderId="1" xfId="0" applyFont="1" applyFill="1" applyBorder="1" applyAlignment="1">
      <alignment horizontal="left" wrapText="1"/>
    </xf>
    <xf numFmtId="0" fontId="9" fillId="0" borderId="1" xfId="0" applyFont="1" applyBorder="1" applyAlignment="1">
      <alignment wrapText="1"/>
    </xf>
    <xf numFmtId="0" fontId="6" fillId="3" borderId="1" xfId="0" applyFont="1" applyFill="1" applyBorder="1" applyAlignment="1">
      <alignment horizontal="center" wrapText="1"/>
    </xf>
    <xf numFmtId="9" fontId="6" fillId="5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wrapText="1"/>
    </xf>
    <xf numFmtId="0" fontId="10" fillId="3" borderId="1" xfId="0" applyFont="1" applyFill="1" applyBorder="1" applyAlignment="1">
      <alignment wrapText="1"/>
    </xf>
    <xf numFmtId="0" fontId="6" fillId="10" borderId="1" xfId="0" applyFont="1" applyFill="1" applyBorder="1" applyAlignment="1">
      <alignment horizontal="left" wrapText="1"/>
    </xf>
    <xf numFmtId="0" fontId="11" fillId="7" borderId="1" xfId="0" applyFont="1" applyFill="1" applyBorder="1" applyAlignment="1">
      <alignment horizontal="center" wrapText="1"/>
    </xf>
    <xf numFmtId="0" fontId="11" fillId="8" borderId="1" xfId="0" applyFont="1" applyFill="1" applyBorder="1" applyAlignment="1">
      <alignment horizontal="center"/>
    </xf>
    <xf numFmtId="0" fontId="11" fillId="9" borderId="1" xfId="0" applyFont="1" applyFill="1" applyBorder="1" applyAlignment="1">
      <alignment horizontal="center"/>
    </xf>
    <xf numFmtId="0" fontId="11" fillId="7" borderId="1" xfId="0" applyFont="1" applyFill="1" applyBorder="1" applyAlignment="1">
      <alignment horizontal="center"/>
    </xf>
    <xf numFmtId="17" fontId="11" fillId="7" borderId="3" xfId="0" applyNumberFormat="1" applyFont="1" applyFill="1" applyBorder="1" applyAlignment="1">
      <alignment horizontal="center"/>
    </xf>
    <xf numFmtId="17" fontId="11" fillId="7" borderId="4" xfId="0" applyNumberFormat="1" applyFont="1" applyFill="1" applyBorder="1" applyAlignment="1">
      <alignment horizontal="center"/>
    </xf>
    <xf numFmtId="17" fontId="11" fillId="7" borderId="2" xfId="0" applyNumberFormat="1" applyFont="1" applyFill="1" applyBorder="1" applyAlignment="1">
      <alignment horizontal="center"/>
    </xf>
    <xf numFmtId="17" fontId="11" fillId="7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H48"/>
  <sheetViews>
    <sheetView tabSelected="1" workbookViewId="0">
      <pane xSplit="3" topLeftCell="AC1" activePane="topRight" state="frozen"/>
      <selection activeCell="A46" sqref="A46"/>
      <selection pane="topRight" activeCell="AG13" sqref="AG13"/>
    </sheetView>
  </sheetViews>
  <sheetFormatPr defaultColWidth="9" defaultRowHeight="14.4"/>
  <cols>
    <col min="1" max="1" width="7.69921875" customWidth="1"/>
    <col min="2" max="2" width="15.5" style="3" customWidth="1"/>
    <col min="3" max="3" width="25.8984375" style="3" customWidth="1"/>
    <col min="4" max="5" width="15.3984375" style="3" customWidth="1"/>
    <col min="6" max="6" width="22.59765625" style="3" customWidth="1"/>
    <col min="7" max="7" width="13.5" style="3" customWidth="1"/>
    <col min="8" max="8" width="14.69921875" style="3" customWidth="1"/>
    <col min="9" max="9" width="14.19921875" style="3" customWidth="1"/>
    <col min="10" max="10" width="42.19921875" style="3" customWidth="1"/>
    <col min="11" max="11" width="50.19921875" style="3" customWidth="1"/>
    <col min="12" max="12" width="19.69921875" style="3" customWidth="1"/>
    <col min="13" max="13" width="17.8984375" style="16" customWidth="1"/>
    <col min="14" max="14" width="23.3984375" style="3" customWidth="1"/>
    <col min="15" max="15" width="12.8984375" style="3" customWidth="1"/>
    <col min="16" max="16" width="10.5" style="3" customWidth="1"/>
    <col min="17" max="17" width="16.19921875" style="3" customWidth="1"/>
    <col min="18" max="18" width="16.5" style="3" customWidth="1"/>
    <col min="19" max="19" width="16.3984375" style="3" customWidth="1"/>
    <col min="20" max="20" width="21.5" style="3" customWidth="1"/>
    <col min="21" max="21" width="33.09765625" style="3" customWidth="1"/>
    <col min="22" max="22" width="13.8984375" style="3" customWidth="1"/>
    <col min="23" max="23" width="14.19921875" customWidth="1"/>
    <col min="24" max="24" width="18.09765625" customWidth="1"/>
    <col min="25" max="25" width="16.09765625" customWidth="1"/>
    <col min="26" max="26" width="13.19921875" customWidth="1"/>
    <col min="27" max="27" width="19.59765625" customWidth="1"/>
    <col min="28" max="28" width="15.8984375" customWidth="1"/>
    <col min="29" max="29" width="19.8984375" customWidth="1"/>
    <col min="30" max="30" width="18.5" customWidth="1"/>
    <col min="31" max="31" width="22" customWidth="1"/>
    <col min="32" max="32" width="21.8984375" customWidth="1"/>
    <col min="33" max="33" width="18.59765625" customWidth="1"/>
    <col min="34" max="34" width="19.296875" customWidth="1"/>
  </cols>
  <sheetData>
    <row r="1" spans="1:34">
      <c r="A1" s="43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1" t="s">
        <v>1</v>
      </c>
      <c r="R1" s="41"/>
      <c r="S1" s="41"/>
      <c r="T1" s="41"/>
      <c r="U1" s="41"/>
      <c r="V1" s="41"/>
      <c r="W1" s="42" t="s">
        <v>2</v>
      </c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</row>
    <row r="2" spans="1:34" ht="43.2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12</v>
      </c>
      <c r="K2" s="4" t="s">
        <v>13</v>
      </c>
      <c r="L2" s="4" t="s">
        <v>14</v>
      </c>
      <c r="M2" s="15" t="s">
        <v>15</v>
      </c>
      <c r="N2" s="4" t="s">
        <v>16</v>
      </c>
      <c r="O2" s="4" t="s">
        <v>17</v>
      </c>
      <c r="P2" s="4" t="s">
        <v>18</v>
      </c>
      <c r="Q2" s="4" t="s">
        <v>19</v>
      </c>
      <c r="R2" s="4" t="s">
        <v>20</v>
      </c>
      <c r="S2" s="4" t="s">
        <v>21</v>
      </c>
      <c r="T2" s="4" t="s">
        <v>22</v>
      </c>
      <c r="U2" s="4" t="s">
        <v>23</v>
      </c>
      <c r="V2" s="4" t="s">
        <v>24</v>
      </c>
      <c r="W2" s="32" t="s">
        <v>25</v>
      </c>
      <c r="X2" s="32" t="s">
        <v>26</v>
      </c>
      <c r="Y2" s="32" t="s">
        <v>27</v>
      </c>
      <c r="Z2" s="32" t="s">
        <v>28</v>
      </c>
      <c r="AA2" s="32" t="s">
        <v>29</v>
      </c>
      <c r="AB2" s="32" t="s">
        <v>30</v>
      </c>
      <c r="AC2" s="32" t="s">
        <v>31</v>
      </c>
      <c r="AD2" s="32" t="s">
        <v>32</v>
      </c>
      <c r="AE2" s="32" t="s">
        <v>33</v>
      </c>
      <c r="AF2" s="32" t="s">
        <v>34</v>
      </c>
      <c r="AG2" s="32" t="s">
        <v>35</v>
      </c>
      <c r="AH2" s="32" t="s">
        <v>15</v>
      </c>
    </row>
    <row r="3" spans="1:34" ht="36.549999999999997" hidden="1" customHeight="1">
      <c r="A3" s="5">
        <v>1</v>
      </c>
      <c r="B3" s="6" t="s">
        <v>36</v>
      </c>
      <c r="C3" s="6" t="s">
        <v>37</v>
      </c>
      <c r="D3" s="7" t="s">
        <v>38</v>
      </c>
      <c r="E3" s="7"/>
      <c r="F3" s="7" t="s">
        <v>39</v>
      </c>
      <c r="G3" s="8">
        <f>(Q3/P3)</f>
        <v>0.170304334460498</v>
      </c>
      <c r="H3" s="20">
        <f>(R3/P3)</f>
        <v>0.73747310175222869</v>
      </c>
      <c r="I3" s="8">
        <f>(S3/P3)</f>
        <v>9.2222563787273282E-2</v>
      </c>
      <c r="J3" s="7" t="s">
        <v>40</v>
      </c>
      <c r="K3" s="7" t="s">
        <v>41</v>
      </c>
      <c r="L3" s="7" t="s">
        <v>42</v>
      </c>
      <c r="M3" s="8">
        <f>(V3/T3)</f>
        <v>0.86486486486486491</v>
      </c>
      <c r="N3" s="7" t="s">
        <v>43</v>
      </c>
      <c r="O3" s="7" t="s">
        <v>44</v>
      </c>
      <c r="P3" s="11">
        <v>6506</v>
      </c>
      <c r="Q3" s="11">
        <v>1108</v>
      </c>
      <c r="R3" s="11">
        <f>((P3-(Q3+S3)))</f>
        <v>4798</v>
      </c>
      <c r="S3" s="11">
        <v>600</v>
      </c>
      <c r="T3" s="11">
        <v>74</v>
      </c>
      <c r="U3" s="11">
        <v>10</v>
      </c>
      <c r="V3" s="11">
        <f>(T3-U3)</f>
        <v>64</v>
      </c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</row>
    <row r="4" spans="1:34" ht="28.8" hidden="1">
      <c r="A4" s="5">
        <v>2</v>
      </c>
      <c r="B4" s="6" t="s">
        <v>45</v>
      </c>
      <c r="C4" s="9" t="s">
        <v>46</v>
      </c>
      <c r="D4" s="7" t="s">
        <v>47</v>
      </c>
      <c r="E4" s="7"/>
      <c r="F4" s="7" t="s">
        <v>39</v>
      </c>
      <c r="G4" s="8">
        <f t="shared" ref="G4:G32" si="0">(Q4/P4)</f>
        <v>0.54545454545454541</v>
      </c>
      <c r="H4" s="8">
        <f t="shared" ref="H4:H32" si="1">(R4/P4)</f>
        <v>0.34176136363636361</v>
      </c>
      <c r="I4" s="8">
        <f t="shared" ref="I4:I32" si="2">(S4/P4)</f>
        <v>0.1127840909090909</v>
      </c>
      <c r="J4" s="10" t="s">
        <v>48</v>
      </c>
      <c r="K4" s="10" t="s">
        <v>49</v>
      </c>
      <c r="L4" s="10"/>
      <c r="M4" s="8">
        <f t="shared" ref="M4:M48" si="3">(V4/T4)</f>
        <v>0.75</v>
      </c>
      <c r="N4" s="7" t="s">
        <v>50</v>
      </c>
      <c r="O4" s="7" t="s">
        <v>44</v>
      </c>
      <c r="P4" s="12">
        <v>3520</v>
      </c>
      <c r="Q4" s="12">
        <v>1920</v>
      </c>
      <c r="R4" s="12">
        <f>((P4-(Q4+S4)))</f>
        <v>1203</v>
      </c>
      <c r="S4" s="12">
        <v>397</v>
      </c>
      <c r="T4" s="12">
        <v>12</v>
      </c>
      <c r="U4" s="12">
        <v>3</v>
      </c>
      <c r="V4" s="11">
        <f t="shared" ref="V4:V48" si="4">(T4-U4)</f>
        <v>9</v>
      </c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</row>
    <row r="5" spans="1:34" ht="43.2" hidden="1">
      <c r="A5" s="5">
        <v>3</v>
      </c>
      <c r="B5" s="9" t="s">
        <v>45</v>
      </c>
      <c r="C5" s="9" t="s">
        <v>51</v>
      </c>
      <c r="D5" s="7" t="s">
        <v>52</v>
      </c>
      <c r="E5" s="7"/>
      <c r="F5" s="7" t="s">
        <v>39</v>
      </c>
      <c r="G5" s="8">
        <f t="shared" si="0"/>
        <v>2.4462809917355371E-2</v>
      </c>
      <c r="H5" s="8">
        <f t="shared" si="1"/>
        <v>0.74413223140495866</v>
      </c>
      <c r="I5" s="8">
        <f t="shared" si="2"/>
        <v>0.23140495867768596</v>
      </c>
      <c r="J5" s="10" t="s">
        <v>53</v>
      </c>
      <c r="K5" s="10" t="s">
        <v>54</v>
      </c>
      <c r="L5" s="7" t="s">
        <v>55</v>
      </c>
      <c r="M5" s="8">
        <f t="shared" si="3"/>
        <v>0.73333333333333328</v>
      </c>
      <c r="N5" s="7" t="s">
        <v>56</v>
      </c>
      <c r="O5" s="7" t="s">
        <v>44</v>
      </c>
      <c r="P5" s="12">
        <v>3025</v>
      </c>
      <c r="Q5" s="12">
        <v>74</v>
      </c>
      <c r="R5" s="12">
        <f t="shared" ref="R5:R12" si="5">((P5-(Q5+S5)))</f>
        <v>2251</v>
      </c>
      <c r="S5" s="12">
        <v>700</v>
      </c>
      <c r="T5" s="12">
        <v>15</v>
      </c>
      <c r="U5" s="12">
        <v>4</v>
      </c>
      <c r="V5" s="11">
        <f t="shared" si="4"/>
        <v>11</v>
      </c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</row>
    <row r="6" spans="1:34" ht="43.2" hidden="1">
      <c r="A6" s="5">
        <v>4</v>
      </c>
      <c r="B6" s="9" t="s">
        <v>45</v>
      </c>
      <c r="C6" s="28" t="s">
        <v>57</v>
      </c>
      <c r="D6" s="7" t="s">
        <v>52</v>
      </c>
      <c r="E6" s="7"/>
      <c r="F6" s="7" t="s">
        <v>39</v>
      </c>
      <c r="G6" s="8">
        <f t="shared" si="0"/>
        <v>0</v>
      </c>
      <c r="H6" s="8">
        <f t="shared" si="1"/>
        <v>0</v>
      </c>
      <c r="I6" s="8">
        <f t="shared" si="2"/>
        <v>1</v>
      </c>
      <c r="J6" s="10" t="s">
        <v>58</v>
      </c>
      <c r="K6" s="10" t="s">
        <v>59</v>
      </c>
      <c r="L6" s="7" t="s">
        <v>55</v>
      </c>
      <c r="M6" s="8">
        <f t="shared" si="3"/>
        <v>0.77777777777777779</v>
      </c>
      <c r="N6" s="7" t="s">
        <v>60</v>
      </c>
      <c r="O6" s="7" t="s">
        <v>44</v>
      </c>
      <c r="P6" s="12">
        <v>8466</v>
      </c>
      <c r="Q6" s="12">
        <v>0</v>
      </c>
      <c r="R6" s="12">
        <f t="shared" si="5"/>
        <v>0</v>
      </c>
      <c r="S6" s="12">
        <v>8466</v>
      </c>
      <c r="T6" s="12">
        <v>18</v>
      </c>
      <c r="U6" s="12">
        <v>4</v>
      </c>
      <c r="V6" s="11">
        <f t="shared" si="4"/>
        <v>14</v>
      </c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</row>
    <row r="7" spans="1:34" hidden="1">
      <c r="A7" s="5">
        <v>5</v>
      </c>
      <c r="B7" s="9" t="s">
        <v>45</v>
      </c>
      <c r="C7" s="9" t="s">
        <v>61</v>
      </c>
      <c r="D7" s="7" t="s">
        <v>47</v>
      </c>
      <c r="E7" s="7"/>
      <c r="F7" s="7" t="s">
        <v>62</v>
      </c>
      <c r="G7" s="8">
        <f t="shared" si="0"/>
        <v>4.911591355599214E-3</v>
      </c>
      <c r="H7" s="8">
        <f t="shared" si="1"/>
        <v>0.94597249508840864</v>
      </c>
      <c r="I7" s="8">
        <f t="shared" si="2"/>
        <v>4.9115913555992138E-2</v>
      </c>
      <c r="J7" s="10" t="s">
        <v>63</v>
      </c>
      <c r="K7" s="10"/>
      <c r="L7" s="10"/>
      <c r="M7" s="8">
        <f t="shared" si="3"/>
        <v>0.7142857142857143</v>
      </c>
      <c r="N7" s="10" t="s">
        <v>64</v>
      </c>
      <c r="O7" s="7" t="s">
        <v>65</v>
      </c>
      <c r="P7" s="12">
        <v>2036</v>
      </c>
      <c r="Q7" s="12">
        <v>10</v>
      </c>
      <c r="R7" s="12">
        <f t="shared" si="5"/>
        <v>1926</v>
      </c>
      <c r="S7" s="12">
        <v>100</v>
      </c>
      <c r="T7" s="12">
        <v>14</v>
      </c>
      <c r="U7" s="12">
        <v>4</v>
      </c>
      <c r="V7" s="11">
        <f t="shared" si="4"/>
        <v>10</v>
      </c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</row>
    <row r="8" spans="1:34" ht="43.2" hidden="1">
      <c r="A8" s="5">
        <v>6</v>
      </c>
      <c r="B8" s="9" t="s">
        <v>45</v>
      </c>
      <c r="C8" s="29" t="s">
        <v>66</v>
      </c>
      <c r="D8" s="7" t="s">
        <v>52</v>
      </c>
      <c r="E8" s="7"/>
      <c r="F8" s="7" t="s">
        <v>39</v>
      </c>
      <c r="G8" s="8">
        <f t="shared" si="0"/>
        <v>8.6792452830188674E-2</v>
      </c>
      <c r="H8" s="8">
        <f t="shared" si="1"/>
        <v>0.64366576819407006</v>
      </c>
      <c r="I8" s="8">
        <f t="shared" si="2"/>
        <v>0.26954177897574122</v>
      </c>
      <c r="J8" s="10" t="s">
        <v>67</v>
      </c>
      <c r="K8" s="10" t="s">
        <v>68</v>
      </c>
      <c r="L8" s="7" t="s">
        <v>69</v>
      </c>
      <c r="M8" s="8">
        <f t="shared" si="3"/>
        <v>0.73333333333333328</v>
      </c>
      <c r="N8" s="7" t="s">
        <v>56</v>
      </c>
      <c r="O8" s="7" t="s">
        <v>44</v>
      </c>
      <c r="P8" s="12">
        <v>1855</v>
      </c>
      <c r="Q8" s="12">
        <v>161</v>
      </c>
      <c r="R8" s="12">
        <f t="shared" si="5"/>
        <v>1194</v>
      </c>
      <c r="S8" s="12">
        <v>500</v>
      </c>
      <c r="T8" s="12">
        <v>15</v>
      </c>
      <c r="U8" s="12">
        <v>4</v>
      </c>
      <c r="V8" s="11">
        <f t="shared" si="4"/>
        <v>11</v>
      </c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</row>
    <row r="9" spans="1:34" ht="43.2" hidden="1">
      <c r="A9" s="5">
        <v>7</v>
      </c>
      <c r="B9" s="9" t="s">
        <v>45</v>
      </c>
      <c r="C9" s="29" t="s">
        <v>70</v>
      </c>
      <c r="D9" s="7" t="s">
        <v>52</v>
      </c>
      <c r="E9" s="7"/>
      <c r="F9" s="7" t="s">
        <v>39</v>
      </c>
      <c r="G9" s="8">
        <f t="shared" si="0"/>
        <v>0.10904255319148937</v>
      </c>
      <c r="H9" s="8">
        <f t="shared" si="1"/>
        <v>0.72473404255319152</v>
      </c>
      <c r="I9" s="8">
        <f t="shared" si="2"/>
        <v>0.16622340425531915</v>
      </c>
      <c r="J9" s="10" t="s">
        <v>67</v>
      </c>
      <c r="K9" s="10" t="s">
        <v>68</v>
      </c>
      <c r="L9" s="7" t="s">
        <v>69</v>
      </c>
      <c r="M9" s="8">
        <f t="shared" si="3"/>
        <v>0.73333333333333328</v>
      </c>
      <c r="N9" s="7" t="s">
        <v>56</v>
      </c>
      <c r="O9" s="7" t="s">
        <v>44</v>
      </c>
      <c r="P9" s="12">
        <v>3008</v>
      </c>
      <c r="Q9" s="12">
        <v>328</v>
      </c>
      <c r="R9" s="12">
        <f t="shared" si="5"/>
        <v>2180</v>
      </c>
      <c r="S9" s="12">
        <v>500</v>
      </c>
      <c r="T9" s="12">
        <v>15</v>
      </c>
      <c r="U9" s="12">
        <v>4</v>
      </c>
      <c r="V9" s="11">
        <f t="shared" si="4"/>
        <v>11</v>
      </c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</row>
    <row r="10" spans="1:34" ht="28.8" hidden="1">
      <c r="A10" s="5">
        <v>8</v>
      </c>
      <c r="B10" s="9" t="s">
        <v>45</v>
      </c>
      <c r="C10" s="9" t="s">
        <v>71</v>
      </c>
      <c r="D10" s="7" t="s">
        <v>72</v>
      </c>
      <c r="E10" s="7"/>
      <c r="F10" s="7" t="s">
        <v>39</v>
      </c>
      <c r="G10" s="8">
        <f t="shared" si="0"/>
        <v>0.18074656188605109</v>
      </c>
      <c r="H10" s="8">
        <f t="shared" si="1"/>
        <v>0.77013752455795681</v>
      </c>
      <c r="I10" s="8">
        <f t="shared" si="2"/>
        <v>4.9115913555992138E-2</v>
      </c>
      <c r="J10" s="26" t="s">
        <v>73</v>
      </c>
      <c r="K10" s="10" t="s">
        <v>59</v>
      </c>
      <c r="L10" s="7" t="s">
        <v>55</v>
      </c>
      <c r="M10" s="8">
        <f t="shared" si="3"/>
        <v>0.75</v>
      </c>
      <c r="N10" s="7" t="s">
        <v>64</v>
      </c>
      <c r="O10" s="7" t="s">
        <v>44</v>
      </c>
      <c r="P10" s="12">
        <v>2036</v>
      </c>
      <c r="Q10" s="12">
        <v>368</v>
      </c>
      <c r="R10" s="12">
        <f t="shared" si="5"/>
        <v>1568</v>
      </c>
      <c r="S10" s="12">
        <v>100</v>
      </c>
      <c r="T10" s="12">
        <v>24</v>
      </c>
      <c r="U10" s="12">
        <v>6</v>
      </c>
      <c r="V10" s="11">
        <f t="shared" si="4"/>
        <v>18</v>
      </c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</row>
    <row r="11" spans="1:34" ht="28.8" hidden="1">
      <c r="A11" s="5">
        <v>9</v>
      </c>
      <c r="B11" s="9" t="s">
        <v>45</v>
      </c>
      <c r="C11" s="9" t="s">
        <v>74</v>
      </c>
      <c r="D11" s="7" t="s">
        <v>47</v>
      </c>
      <c r="E11" s="7"/>
      <c r="F11" s="7" t="s">
        <v>39</v>
      </c>
      <c r="G11" s="8">
        <f t="shared" si="0"/>
        <v>0.1365969206474536</v>
      </c>
      <c r="H11" s="20">
        <f t="shared" si="1"/>
        <v>0.82392420055270432</v>
      </c>
      <c r="I11" s="20">
        <f t="shared" si="2"/>
        <v>3.9478878799842083E-2</v>
      </c>
      <c r="J11" s="7" t="s">
        <v>75</v>
      </c>
      <c r="K11" s="33" t="s">
        <v>76</v>
      </c>
      <c r="L11" s="7" t="s">
        <v>77</v>
      </c>
      <c r="M11" s="8">
        <f t="shared" si="3"/>
        <v>0.75</v>
      </c>
      <c r="N11" s="7" t="s">
        <v>78</v>
      </c>
      <c r="O11" s="7" t="s">
        <v>44</v>
      </c>
      <c r="P11" s="12">
        <v>2533</v>
      </c>
      <c r="Q11" s="12">
        <v>346</v>
      </c>
      <c r="R11" s="12">
        <f t="shared" si="5"/>
        <v>2087</v>
      </c>
      <c r="S11" s="12">
        <v>100</v>
      </c>
      <c r="T11" s="12">
        <v>16</v>
      </c>
      <c r="U11" s="12">
        <v>4</v>
      </c>
      <c r="V11" s="11">
        <f t="shared" si="4"/>
        <v>12</v>
      </c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</row>
    <row r="12" spans="1:34" ht="43.2" hidden="1">
      <c r="A12" s="5">
        <v>10</v>
      </c>
      <c r="B12" s="9" t="s">
        <v>45</v>
      </c>
      <c r="C12" s="9" t="s">
        <v>79</v>
      </c>
      <c r="D12" s="10" t="s">
        <v>80</v>
      </c>
      <c r="E12" s="10"/>
      <c r="F12" s="7" t="s">
        <v>62</v>
      </c>
      <c r="G12" s="8">
        <f t="shared" si="0"/>
        <v>2.3687327279905252E-3</v>
      </c>
      <c r="H12" s="20">
        <f t="shared" si="1"/>
        <v>4.2242400315831027E-2</v>
      </c>
      <c r="I12" s="20">
        <f t="shared" si="2"/>
        <v>0.95538886695617842</v>
      </c>
      <c r="J12" s="10" t="s">
        <v>58</v>
      </c>
      <c r="K12" s="10" t="s">
        <v>59</v>
      </c>
      <c r="L12" s="7" t="s">
        <v>69</v>
      </c>
      <c r="M12" s="8">
        <f t="shared" si="3"/>
        <v>0.66666666666666663</v>
      </c>
      <c r="N12" s="7" t="s">
        <v>81</v>
      </c>
      <c r="O12" s="7" t="s">
        <v>44</v>
      </c>
      <c r="P12" s="12">
        <v>2533</v>
      </c>
      <c r="Q12" s="12">
        <v>6</v>
      </c>
      <c r="R12" s="12">
        <f t="shared" si="5"/>
        <v>107</v>
      </c>
      <c r="S12" s="12">
        <v>2420</v>
      </c>
      <c r="T12" s="12">
        <v>12</v>
      </c>
      <c r="U12" s="12">
        <v>4</v>
      </c>
      <c r="V12" s="11">
        <f t="shared" si="4"/>
        <v>8</v>
      </c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</row>
    <row r="13" spans="1:34" ht="57.6">
      <c r="A13" s="5">
        <v>11</v>
      </c>
      <c r="B13" s="6" t="s">
        <v>82</v>
      </c>
      <c r="C13" s="6" t="s">
        <v>83</v>
      </c>
      <c r="D13" s="7" t="s">
        <v>47</v>
      </c>
      <c r="E13" s="7" t="s">
        <v>97</v>
      </c>
      <c r="F13" s="7" t="s">
        <v>39</v>
      </c>
      <c r="G13" s="8">
        <f>(Q13/P13)</f>
        <v>0.13731433767808426</v>
      </c>
      <c r="H13" s="8">
        <f t="shared" si="1"/>
        <v>0.66060422350207137</v>
      </c>
      <c r="I13" s="8">
        <f>(S13/P13)</f>
        <v>0.20208143881984439</v>
      </c>
      <c r="J13" s="10" t="s">
        <v>84</v>
      </c>
      <c r="K13" s="10" t="s">
        <v>85</v>
      </c>
      <c r="L13" s="10"/>
      <c r="M13" s="8">
        <f t="shared" si="3"/>
        <v>0.33333333333333331</v>
      </c>
      <c r="N13" s="10"/>
      <c r="O13" s="10" t="s">
        <v>44</v>
      </c>
      <c r="P13">
        <v>9897</v>
      </c>
      <c r="Q13" s="12">
        <v>1359</v>
      </c>
      <c r="R13" s="12">
        <f t="shared" ref="R13:R32" si="6">((P13-(Q13+S13)))</f>
        <v>6538</v>
      </c>
      <c r="S13" s="12">
        <v>2000</v>
      </c>
      <c r="T13" s="12">
        <v>30</v>
      </c>
      <c r="U13" s="12">
        <v>20</v>
      </c>
      <c r="V13" s="11">
        <f t="shared" si="4"/>
        <v>10</v>
      </c>
      <c r="W13" s="27">
        <v>60</v>
      </c>
      <c r="X13" s="27">
        <v>10</v>
      </c>
      <c r="Y13" s="27">
        <f>(W13-X13)</f>
        <v>50</v>
      </c>
      <c r="Z13" s="27">
        <v>5200</v>
      </c>
      <c r="AA13" s="27">
        <f>(P13-Z13)</f>
        <v>4697</v>
      </c>
      <c r="AB13" s="27">
        <v>8538</v>
      </c>
      <c r="AC13" s="27">
        <v>2000</v>
      </c>
      <c r="AD13" s="27">
        <v>6538</v>
      </c>
      <c r="AE13" s="27">
        <v>30</v>
      </c>
      <c r="AF13" s="27">
        <v>20</v>
      </c>
      <c r="AG13" s="27">
        <v>10</v>
      </c>
      <c r="AH13" s="31">
        <v>0.3</v>
      </c>
    </row>
    <row r="14" spans="1:34" ht="28.8">
      <c r="A14" s="5">
        <v>12</v>
      </c>
      <c r="B14" s="6" t="s">
        <v>82</v>
      </c>
      <c r="C14" s="6" t="s">
        <v>86</v>
      </c>
      <c r="D14" s="7" t="s">
        <v>47</v>
      </c>
      <c r="E14" s="7" t="s">
        <v>97</v>
      </c>
      <c r="F14" s="7" t="s">
        <v>39</v>
      </c>
      <c r="G14" s="8">
        <f t="shared" si="0"/>
        <v>0.42860962566844918</v>
      </c>
      <c r="H14" s="8">
        <f t="shared" si="1"/>
        <v>0.56336898395721924</v>
      </c>
      <c r="I14" s="8">
        <f t="shared" si="2"/>
        <v>8.0213903743315516E-3</v>
      </c>
      <c r="J14" s="10" t="s">
        <v>88</v>
      </c>
      <c r="K14" s="10"/>
      <c r="L14" s="10"/>
      <c r="M14" s="8">
        <f t="shared" si="3"/>
        <v>0</v>
      </c>
      <c r="N14" s="10"/>
      <c r="O14" s="10"/>
      <c r="P14" s="12">
        <v>3740</v>
      </c>
      <c r="Q14" s="12">
        <v>1603</v>
      </c>
      <c r="R14" s="12">
        <f>((P14-(Q14+S14)))</f>
        <v>2107</v>
      </c>
      <c r="S14" s="12">
        <v>30</v>
      </c>
      <c r="T14" s="12">
        <v>15</v>
      </c>
      <c r="U14" s="12">
        <v>15</v>
      </c>
      <c r="V14" s="11">
        <f t="shared" si="4"/>
        <v>0</v>
      </c>
      <c r="W14" s="27">
        <v>100</v>
      </c>
      <c r="X14" s="27">
        <v>60</v>
      </c>
      <c r="Y14" s="27">
        <f>(W14-X14)</f>
        <v>40</v>
      </c>
      <c r="Z14" s="27">
        <v>2740</v>
      </c>
      <c r="AA14" s="27">
        <f>(P14-Z14)</f>
        <v>1000</v>
      </c>
      <c r="AB14" s="27">
        <v>0</v>
      </c>
      <c r="AC14" s="27">
        <v>150</v>
      </c>
      <c r="AD14" s="27">
        <f>(AA14-(AB14+AC14))</f>
        <v>850</v>
      </c>
      <c r="AE14" s="27">
        <v>10</v>
      </c>
      <c r="AF14" s="27">
        <v>5</v>
      </c>
      <c r="AG14" s="27">
        <f>(AE14-AF14)</f>
        <v>5</v>
      </c>
      <c r="AH14" s="31">
        <f>(AG14/AE14)</f>
        <v>0.5</v>
      </c>
    </row>
    <row r="15" spans="1:34" ht="43.2" hidden="1">
      <c r="A15" s="5">
        <v>13</v>
      </c>
      <c r="B15" s="40" t="s">
        <v>82</v>
      </c>
      <c r="C15" s="40" t="s">
        <v>89</v>
      </c>
      <c r="D15" s="7" t="s">
        <v>47</v>
      </c>
      <c r="E15" s="7" t="s">
        <v>87</v>
      </c>
      <c r="F15" s="7" t="s">
        <v>39</v>
      </c>
      <c r="G15" s="8">
        <f t="shared" si="0"/>
        <v>0</v>
      </c>
      <c r="H15" s="20">
        <f t="shared" si="1"/>
        <v>1</v>
      </c>
      <c r="I15" s="8">
        <f t="shared" si="2"/>
        <v>0</v>
      </c>
      <c r="J15" s="14" t="s">
        <v>90</v>
      </c>
      <c r="K15" s="10"/>
      <c r="L15" s="10"/>
      <c r="M15" s="8">
        <f t="shared" si="3"/>
        <v>0</v>
      </c>
      <c r="N15" s="10"/>
      <c r="O15" s="10"/>
      <c r="P15" s="12">
        <v>1529</v>
      </c>
      <c r="Q15" s="12">
        <v>0</v>
      </c>
      <c r="R15" s="12">
        <v>1529</v>
      </c>
      <c r="S15" s="12">
        <v>0</v>
      </c>
      <c r="T15" s="12">
        <v>10</v>
      </c>
      <c r="U15" s="12">
        <v>10</v>
      </c>
      <c r="V15" s="11">
        <f t="shared" si="4"/>
        <v>0</v>
      </c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43.2" hidden="1">
      <c r="A16" s="5">
        <v>15</v>
      </c>
      <c r="B16" s="40" t="s">
        <v>82</v>
      </c>
      <c r="C16" s="40" t="s">
        <v>91</v>
      </c>
      <c r="D16" s="7" t="s">
        <v>47</v>
      </c>
      <c r="E16" s="7" t="s">
        <v>87</v>
      </c>
      <c r="F16" s="7" t="s">
        <v>39</v>
      </c>
      <c r="G16" s="8">
        <f>(Q16/P16)</f>
        <v>0</v>
      </c>
      <c r="H16" s="20">
        <f>(R16/P16)</f>
        <v>1</v>
      </c>
      <c r="I16" s="8"/>
      <c r="J16" s="18" t="s">
        <v>90</v>
      </c>
      <c r="K16" s="10"/>
      <c r="L16" s="10"/>
      <c r="M16" s="8" t="e">
        <f t="shared" si="3"/>
        <v>#DIV/0!</v>
      </c>
      <c r="N16" s="10"/>
      <c r="O16" s="10"/>
      <c r="P16" s="12">
        <v>1387</v>
      </c>
      <c r="Q16" s="12">
        <v>0</v>
      </c>
      <c r="R16" s="12">
        <v>1387</v>
      </c>
      <c r="S16" s="12">
        <v>0</v>
      </c>
      <c r="T16" s="12"/>
      <c r="U16" s="12"/>
      <c r="V16" s="11">
        <f t="shared" si="4"/>
        <v>0</v>
      </c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43.2" hidden="1">
      <c r="A17" s="5">
        <v>16</v>
      </c>
      <c r="B17" s="9" t="s">
        <v>92</v>
      </c>
      <c r="C17" s="9" t="s">
        <v>93</v>
      </c>
      <c r="D17" s="7" t="s">
        <v>38</v>
      </c>
      <c r="E17" s="7"/>
      <c r="F17" s="7" t="s">
        <v>39</v>
      </c>
      <c r="G17" s="8">
        <f t="shared" si="0"/>
        <v>9.6970643347907559E-2</v>
      </c>
      <c r="H17" s="8">
        <f t="shared" si="1"/>
        <v>0.61164896939412872</v>
      </c>
      <c r="I17" s="8">
        <f t="shared" si="2"/>
        <v>0.29138038725796378</v>
      </c>
      <c r="J17" s="10" t="s">
        <v>58</v>
      </c>
      <c r="K17" s="10" t="s">
        <v>59</v>
      </c>
      <c r="L17" s="7" t="s">
        <v>55</v>
      </c>
      <c r="M17" s="8">
        <f t="shared" si="3"/>
        <v>0.6</v>
      </c>
      <c r="N17" s="10"/>
      <c r="O17" s="7" t="s">
        <v>44</v>
      </c>
      <c r="P17" s="12">
        <v>6404</v>
      </c>
      <c r="Q17" s="12">
        <v>621</v>
      </c>
      <c r="R17" s="12">
        <f t="shared" si="6"/>
        <v>3917</v>
      </c>
      <c r="S17" s="12">
        <v>1866</v>
      </c>
      <c r="T17" s="12">
        <v>15</v>
      </c>
      <c r="U17" s="12">
        <v>6</v>
      </c>
      <c r="V17" s="11">
        <f t="shared" si="4"/>
        <v>9</v>
      </c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43.2" hidden="1">
      <c r="A18" s="5">
        <v>17</v>
      </c>
      <c r="B18" s="9" t="s">
        <v>92</v>
      </c>
      <c r="C18" s="17" t="s">
        <v>94</v>
      </c>
      <c r="D18" s="7" t="s">
        <v>38</v>
      </c>
      <c r="E18" s="7"/>
      <c r="F18" s="7" t="s">
        <v>39</v>
      </c>
      <c r="G18" s="8">
        <f t="shared" ref="G18" si="7">(Q18/P18)</f>
        <v>6.3888888888888884E-2</v>
      </c>
      <c r="H18" s="20">
        <f t="shared" ref="H18" si="8">(R18/P18)</f>
        <v>0.91296296296296298</v>
      </c>
      <c r="I18" s="20">
        <f t="shared" ref="I18" si="9">(S18/P18)</f>
        <v>2.3148148148148147E-2</v>
      </c>
      <c r="J18" s="10" t="s">
        <v>58</v>
      </c>
      <c r="K18" s="10" t="s">
        <v>59</v>
      </c>
      <c r="L18" s="7" t="s">
        <v>55</v>
      </c>
      <c r="M18" s="8">
        <f t="shared" si="3"/>
        <v>0.5714285714285714</v>
      </c>
      <c r="N18" s="10"/>
      <c r="O18" s="7" t="s">
        <v>44</v>
      </c>
      <c r="P18" s="12">
        <v>2160</v>
      </c>
      <c r="Q18" s="12">
        <v>138</v>
      </c>
      <c r="R18" s="12">
        <f t="shared" ref="R18" si="10">((P18-(Q18+S18)))</f>
        <v>1972</v>
      </c>
      <c r="S18" s="12">
        <v>50</v>
      </c>
      <c r="T18" s="12">
        <v>7</v>
      </c>
      <c r="U18" s="12">
        <v>3</v>
      </c>
      <c r="V18" s="11">
        <f t="shared" si="4"/>
        <v>4</v>
      </c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idden="1">
      <c r="A19" s="5">
        <v>18</v>
      </c>
      <c r="B19" s="6" t="s">
        <v>95</v>
      </c>
      <c r="C19" s="6" t="s">
        <v>96</v>
      </c>
      <c r="D19" s="7" t="s">
        <v>47</v>
      </c>
      <c r="E19" s="7" t="s">
        <v>97</v>
      </c>
      <c r="F19" s="7" t="s">
        <v>39</v>
      </c>
      <c r="G19" s="8">
        <f>(Q19/P19)</f>
        <v>9.2391304347826081E-2</v>
      </c>
      <c r="H19" s="20">
        <f t="shared" si="1"/>
        <v>0.8623188405797102</v>
      </c>
      <c r="I19" s="8">
        <f t="shared" si="2"/>
        <v>4.5289855072463768E-2</v>
      </c>
      <c r="J19" s="10" t="s">
        <v>98</v>
      </c>
      <c r="K19" s="10"/>
      <c r="L19" s="10"/>
      <c r="M19" s="8">
        <f t="shared" si="3"/>
        <v>0.4</v>
      </c>
      <c r="N19" s="10"/>
      <c r="O19" s="10" t="s">
        <v>44</v>
      </c>
      <c r="P19" s="12">
        <v>5520</v>
      </c>
      <c r="Q19" s="12">
        <v>510</v>
      </c>
      <c r="R19" s="12">
        <f t="shared" si="6"/>
        <v>4760</v>
      </c>
      <c r="S19" s="12">
        <v>250</v>
      </c>
      <c r="T19" s="12">
        <v>20</v>
      </c>
      <c r="U19" s="12">
        <v>12</v>
      </c>
      <c r="V19" s="11">
        <f t="shared" si="4"/>
        <v>8</v>
      </c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</row>
    <row r="20" spans="1:34" hidden="1">
      <c r="A20" s="5">
        <v>19</v>
      </c>
      <c r="B20" s="6" t="s">
        <v>95</v>
      </c>
      <c r="C20" s="6" t="s">
        <v>99</v>
      </c>
      <c r="D20" s="10" t="s">
        <v>38</v>
      </c>
      <c r="E20" s="7" t="s">
        <v>97</v>
      </c>
      <c r="F20" s="7" t="s">
        <v>39</v>
      </c>
      <c r="G20" s="8">
        <f>(Q20/P20)</f>
        <v>0.1448735019973369</v>
      </c>
      <c r="H20" s="20">
        <f t="shared" si="1"/>
        <v>0.45565912117177099</v>
      </c>
      <c r="I20" s="8">
        <f t="shared" si="2"/>
        <v>0.39946737683089212</v>
      </c>
      <c r="J20" s="10" t="s">
        <v>100</v>
      </c>
      <c r="K20" s="10"/>
      <c r="L20" s="13">
        <v>0.6</v>
      </c>
      <c r="M20" s="8">
        <f t="shared" si="3"/>
        <v>0.33333333333333331</v>
      </c>
      <c r="N20" s="10"/>
      <c r="O20" s="10" t="s">
        <v>44</v>
      </c>
      <c r="P20" s="12">
        <v>3755</v>
      </c>
      <c r="Q20" s="12">
        <v>544</v>
      </c>
      <c r="R20" s="12">
        <f t="shared" si="6"/>
        <v>1711</v>
      </c>
      <c r="S20" s="12">
        <v>1500</v>
      </c>
      <c r="T20" s="12">
        <v>15</v>
      </c>
      <c r="U20" s="12">
        <v>10</v>
      </c>
      <c r="V20" s="11">
        <f t="shared" si="4"/>
        <v>5</v>
      </c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</row>
    <row r="21" spans="1:34" hidden="1">
      <c r="A21" s="5">
        <v>20</v>
      </c>
      <c r="B21" s="6" t="s">
        <v>95</v>
      </c>
      <c r="C21" s="6" t="s">
        <v>101</v>
      </c>
      <c r="D21" s="7" t="s">
        <v>47</v>
      </c>
      <c r="E21" s="7" t="s">
        <v>97</v>
      </c>
      <c r="F21" s="7" t="s">
        <v>39</v>
      </c>
      <c r="G21" s="8">
        <f t="shared" si="0"/>
        <v>7.0784177654406658E-2</v>
      </c>
      <c r="H21" s="20">
        <f t="shared" si="1"/>
        <v>0.65163081193615546</v>
      </c>
      <c r="I21" s="8">
        <f t="shared" si="2"/>
        <v>0.27758501040943789</v>
      </c>
      <c r="J21" s="10"/>
      <c r="K21" s="10"/>
      <c r="L21" s="10"/>
      <c r="M21" s="8">
        <f t="shared" si="3"/>
        <v>0.21739130434782608</v>
      </c>
      <c r="N21" s="10"/>
      <c r="O21" s="10" t="s">
        <v>44</v>
      </c>
      <c r="P21" s="12">
        <v>7205</v>
      </c>
      <c r="Q21" s="12">
        <v>510</v>
      </c>
      <c r="R21" s="12">
        <f t="shared" si="6"/>
        <v>4695</v>
      </c>
      <c r="S21" s="12">
        <v>2000</v>
      </c>
      <c r="T21" s="12">
        <v>23</v>
      </c>
      <c r="U21" s="12">
        <v>18</v>
      </c>
      <c r="V21" s="11">
        <f t="shared" si="4"/>
        <v>5</v>
      </c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</row>
    <row r="22" spans="1:34" hidden="1">
      <c r="A22" s="5">
        <v>21</v>
      </c>
      <c r="B22" s="6" t="s">
        <v>95</v>
      </c>
      <c r="C22" s="6" t="s">
        <v>102</v>
      </c>
      <c r="D22" s="7" t="s">
        <v>47</v>
      </c>
      <c r="E22" s="7" t="s">
        <v>87</v>
      </c>
      <c r="F22" s="7" t="s">
        <v>39</v>
      </c>
      <c r="G22" s="8">
        <f t="shared" si="0"/>
        <v>2.6737967914438502E-2</v>
      </c>
      <c r="H22" s="20">
        <f t="shared" si="1"/>
        <v>0.8262032085561497</v>
      </c>
      <c r="I22" s="8">
        <f t="shared" si="2"/>
        <v>0.14705882352941177</v>
      </c>
      <c r="J22" s="10"/>
      <c r="K22" s="10"/>
      <c r="L22" s="10"/>
      <c r="M22" s="8">
        <f t="shared" si="3"/>
        <v>0.46666666666666667</v>
      </c>
      <c r="N22" s="10"/>
      <c r="O22" s="10" t="s">
        <v>65</v>
      </c>
      <c r="P22" s="12">
        <v>3740</v>
      </c>
      <c r="Q22" s="12">
        <v>100</v>
      </c>
      <c r="R22" s="12">
        <f t="shared" si="6"/>
        <v>3090</v>
      </c>
      <c r="S22" s="12">
        <v>550</v>
      </c>
      <c r="T22" s="12">
        <v>15</v>
      </c>
      <c r="U22" s="12">
        <v>8</v>
      </c>
      <c r="V22" s="11">
        <f t="shared" si="4"/>
        <v>7</v>
      </c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</row>
    <row r="23" spans="1:34" hidden="1">
      <c r="A23" s="5">
        <v>22</v>
      </c>
      <c r="B23" s="6" t="s">
        <v>95</v>
      </c>
      <c r="C23" s="6" t="s">
        <v>103</v>
      </c>
      <c r="D23" s="7" t="s">
        <v>47</v>
      </c>
      <c r="E23" s="7" t="s">
        <v>87</v>
      </c>
      <c r="F23" s="7" t="s">
        <v>39</v>
      </c>
      <c r="G23" s="8">
        <f t="shared" si="0"/>
        <v>1.7439832577607256E-2</v>
      </c>
      <c r="H23" s="20">
        <f t="shared" si="1"/>
        <v>0.95116846878269967</v>
      </c>
      <c r="I23" s="8">
        <f t="shared" si="2"/>
        <v>3.1391698639693058E-2</v>
      </c>
      <c r="J23" s="10"/>
      <c r="K23" s="10"/>
      <c r="L23" s="10"/>
      <c r="M23" s="8">
        <f t="shared" si="3"/>
        <v>0.41666666666666669</v>
      </c>
      <c r="N23" s="10"/>
      <c r="O23" s="10" t="s">
        <v>65</v>
      </c>
      <c r="P23" s="12">
        <v>2867</v>
      </c>
      <c r="Q23" s="12">
        <v>50</v>
      </c>
      <c r="R23" s="12">
        <f t="shared" si="6"/>
        <v>2727</v>
      </c>
      <c r="S23" s="12">
        <v>90</v>
      </c>
      <c r="T23" s="12">
        <v>12</v>
      </c>
      <c r="U23" s="12">
        <v>7</v>
      </c>
      <c r="V23" s="11">
        <f t="shared" si="4"/>
        <v>5</v>
      </c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</row>
    <row r="24" spans="1:34" hidden="1">
      <c r="A24" s="5">
        <v>23</v>
      </c>
      <c r="B24" s="6" t="s">
        <v>95</v>
      </c>
      <c r="C24" s="6" t="s">
        <v>104</v>
      </c>
      <c r="D24" s="7" t="s">
        <v>47</v>
      </c>
      <c r="E24" s="7" t="s">
        <v>97</v>
      </c>
      <c r="F24" s="7" t="s">
        <v>39</v>
      </c>
      <c r="G24" s="8">
        <f t="shared" si="0"/>
        <v>9.3795093795093792E-2</v>
      </c>
      <c r="H24" s="20">
        <f t="shared" si="1"/>
        <v>0.84848484848484851</v>
      </c>
      <c r="I24" s="8">
        <f t="shared" si="2"/>
        <v>5.772005772005772E-2</v>
      </c>
      <c r="J24" s="10"/>
      <c r="K24" s="10"/>
      <c r="L24" s="10"/>
      <c r="M24" s="8">
        <f t="shared" si="3"/>
        <v>0.46666666666666667</v>
      </c>
      <c r="N24" s="10"/>
      <c r="O24" s="10" t="s">
        <v>65</v>
      </c>
      <c r="P24" s="12">
        <v>3465</v>
      </c>
      <c r="Q24" s="12">
        <v>325</v>
      </c>
      <c r="R24" s="12">
        <f t="shared" si="6"/>
        <v>2940</v>
      </c>
      <c r="S24" s="12">
        <v>200</v>
      </c>
      <c r="T24" s="12">
        <v>15</v>
      </c>
      <c r="U24" s="12">
        <v>8</v>
      </c>
      <c r="V24" s="11">
        <f t="shared" si="4"/>
        <v>7</v>
      </c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</row>
    <row r="25" spans="1:34" hidden="1">
      <c r="A25" s="5">
        <v>24</v>
      </c>
      <c r="B25" s="6" t="s">
        <v>95</v>
      </c>
      <c r="C25" s="6" t="s">
        <v>105</v>
      </c>
      <c r="D25" s="7" t="s">
        <v>47</v>
      </c>
      <c r="E25" s="7" t="s">
        <v>87</v>
      </c>
      <c r="F25" s="7" t="s">
        <v>39</v>
      </c>
      <c r="G25" s="8" t="e">
        <f t="shared" si="0"/>
        <v>#DIV/0!</v>
      </c>
      <c r="H25" s="20" t="e">
        <f t="shared" si="1"/>
        <v>#DIV/0!</v>
      </c>
      <c r="I25" s="8" t="e">
        <f t="shared" si="2"/>
        <v>#DIV/0!</v>
      </c>
      <c r="J25" s="10"/>
      <c r="K25" s="10"/>
      <c r="L25" s="10"/>
      <c r="M25" s="8" t="e">
        <f t="shared" si="3"/>
        <v>#DIV/0!</v>
      </c>
      <c r="N25" s="10"/>
      <c r="O25" s="10" t="s">
        <v>65</v>
      </c>
      <c r="P25" s="12"/>
      <c r="Q25" s="12"/>
      <c r="R25" s="12">
        <f t="shared" si="6"/>
        <v>0</v>
      </c>
      <c r="S25" s="12"/>
      <c r="T25" s="12"/>
      <c r="U25" s="12"/>
      <c r="V25" s="11">
        <f t="shared" si="4"/>
        <v>0</v>
      </c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</row>
    <row r="26" spans="1:34" hidden="1">
      <c r="A26" s="5">
        <v>25</v>
      </c>
      <c r="B26" s="6" t="s">
        <v>95</v>
      </c>
      <c r="C26" s="6" t="s">
        <v>106</v>
      </c>
      <c r="D26" s="7" t="s">
        <v>47</v>
      </c>
      <c r="E26" s="7" t="s">
        <v>87</v>
      </c>
      <c r="F26" s="7" t="s">
        <v>39</v>
      </c>
      <c r="G26" s="8" t="e">
        <f t="shared" si="0"/>
        <v>#DIV/0!</v>
      </c>
      <c r="H26" s="20" t="e">
        <f t="shared" si="1"/>
        <v>#DIV/0!</v>
      </c>
      <c r="I26" s="8" t="e">
        <f t="shared" si="2"/>
        <v>#DIV/0!</v>
      </c>
      <c r="J26" s="10"/>
      <c r="K26" s="10"/>
      <c r="L26" s="10"/>
      <c r="M26" s="8" t="e">
        <f t="shared" si="3"/>
        <v>#DIV/0!</v>
      </c>
      <c r="N26" s="10"/>
      <c r="O26" s="10" t="s">
        <v>65</v>
      </c>
      <c r="P26" s="12"/>
      <c r="Q26" s="12"/>
      <c r="R26" s="12">
        <f t="shared" si="6"/>
        <v>0</v>
      </c>
      <c r="S26" s="12"/>
      <c r="T26" s="12"/>
      <c r="U26" s="12"/>
      <c r="V26" s="11">
        <f t="shared" si="4"/>
        <v>0</v>
      </c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</row>
    <row r="27" spans="1:34" hidden="1">
      <c r="A27" s="5">
        <v>26</v>
      </c>
      <c r="B27" s="6" t="s">
        <v>95</v>
      </c>
      <c r="C27" s="6" t="s">
        <v>107</v>
      </c>
      <c r="D27" s="7" t="s">
        <v>47</v>
      </c>
      <c r="E27" s="7" t="s">
        <v>87</v>
      </c>
      <c r="F27" s="7" t="s">
        <v>39</v>
      </c>
      <c r="G27" s="8" t="e">
        <f t="shared" si="0"/>
        <v>#DIV/0!</v>
      </c>
      <c r="H27" s="20" t="e">
        <f t="shared" si="1"/>
        <v>#DIV/0!</v>
      </c>
      <c r="I27" s="8" t="e">
        <f t="shared" si="2"/>
        <v>#DIV/0!</v>
      </c>
      <c r="J27" s="10"/>
      <c r="K27" s="10"/>
      <c r="L27" s="10"/>
      <c r="M27" s="8" t="e">
        <f t="shared" si="3"/>
        <v>#DIV/0!</v>
      </c>
      <c r="N27" s="10"/>
      <c r="O27" s="10" t="s">
        <v>65</v>
      </c>
      <c r="P27" s="12"/>
      <c r="Q27" s="12"/>
      <c r="R27" s="12">
        <f t="shared" si="6"/>
        <v>0</v>
      </c>
      <c r="S27" s="12"/>
      <c r="T27" s="12"/>
      <c r="U27" s="12"/>
      <c r="V27" s="11">
        <f t="shared" si="4"/>
        <v>0</v>
      </c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</row>
    <row r="28" spans="1:34" hidden="1">
      <c r="A28" s="5"/>
      <c r="B28" s="6" t="s">
        <v>95</v>
      </c>
      <c r="C28" s="9" t="s">
        <v>108</v>
      </c>
      <c r="D28" s="7" t="s">
        <v>52</v>
      </c>
      <c r="E28" s="7" t="s">
        <v>97</v>
      </c>
      <c r="F28" s="7" t="s">
        <v>39</v>
      </c>
      <c r="G28" s="8">
        <f t="shared" si="0"/>
        <v>0.37896441407638531</v>
      </c>
      <c r="H28" s="20">
        <f t="shared" si="1"/>
        <v>0.12733520281211738</v>
      </c>
      <c r="I28" s="8">
        <f t="shared" si="2"/>
        <v>0.49370038311149728</v>
      </c>
      <c r="J28" s="10"/>
      <c r="K28" s="10"/>
      <c r="L28" s="10"/>
      <c r="M28" s="8">
        <f>(V28/T28)</f>
        <v>0.51923076923076927</v>
      </c>
      <c r="N28" s="10"/>
      <c r="O28" s="10" t="s">
        <v>44</v>
      </c>
      <c r="P28" s="12">
        <v>25319</v>
      </c>
      <c r="Q28" s="12">
        <v>9595</v>
      </c>
      <c r="R28" s="12">
        <f t="shared" si="6"/>
        <v>3224</v>
      </c>
      <c r="S28" s="12">
        <v>12500</v>
      </c>
      <c r="T28" s="12">
        <v>52</v>
      </c>
      <c r="U28" s="12">
        <v>25</v>
      </c>
      <c r="V28" s="11">
        <f t="shared" si="4"/>
        <v>27</v>
      </c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</row>
    <row r="29" spans="1:34" hidden="1">
      <c r="A29" s="5"/>
      <c r="B29" s="6" t="s">
        <v>95</v>
      </c>
      <c r="C29" s="9" t="s">
        <v>109</v>
      </c>
      <c r="D29" s="7" t="s">
        <v>52</v>
      </c>
      <c r="E29" s="7" t="s">
        <v>97</v>
      </c>
      <c r="F29" s="7" t="s">
        <v>39</v>
      </c>
      <c r="G29" s="8">
        <f t="shared" si="0"/>
        <v>0</v>
      </c>
      <c r="H29" s="20">
        <f t="shared" si="1"/>
        <v>0.43548387096774194</v>
      </c>
      <c r="I29" s="8">
        <f t="shared" si="2"/>
        <v>0.56451612903225812</v>
      </c>
      <c r="J29" s="10"/>
      <c r="K29" s="10"/>
      <c r="L29" s="10"/>
      <c r="M29" s="8">
        <f>(V29/T29)</f>
        <v>0.55555555555555558</v>
      </c>
      <c r="N29" s="10"/>
      <c r="O29" s="10" t="s">
        <v>44</v>
      </c>
      <c r="P29" s="12">
        <v>18600</v>
      </c>
      <c r="Q29" s="12">
        <v>0</v>
      </c>
      <c r="R29" s="12">
        <v>8100</v>
      </c>
      <c r="S29" s="12">
        <v>10500</v>
      </c>
      <c r="T29" s="12">
        <v>45</v>
      </c>
      <c r="U29" s="12">
        <v>20</v>
      </c>
      <c r="V29" s="11">
        <f t="shared" si="4"/>
        <v>25</v>
      </c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</row>
    <row r="30" spans="1:34" hidden="1">
      <c r="A30" s="5">
        <v>37</v>
      </c>
      <c r="B30" s="6" t="s">
        <v>95</v>
      </c>
      <c r="C30" s="9" t="s">
        <v>110</v>
      </c>
      <c r="D30" s="7" t="s">
        <v>52</v>
      </c>
      <c r="E30" s="7" t="s">
        <v>97</v>
      </c>
      <c r="F30" s="7" t="s">
        <v>39</v>
      </c>
      <c r="G30" s="8">
        <f t="shared" si="0"/>
        <v>0</v>
      </c>
      <c r="H30" s="20">
        <f t="shared" si="1"/>
        <v>0</v>
      </c>
      <c r="I30" s="8">
        <f t="shared" si="2"/>
        <v>1</v>
      </c>
      <c r="J30" s="10" t="s">
        <v>111</v>
      </c>
      <c r="K30" s="10"/>
      <c r="L30" s="10"/>
      <c r="M30" s="8">
        <f t="shared" si="3"/>
        <v>0</v>
      </c>
      <c r="N30" s="10"/>
      <c r="O30" s="10" t="s">
        <v>44</v>
      </c>
      <c r="P30" s="12">
        <v>27410</v>
      </c>
      <c r="Q30" s="12">
        <v>0</v>
      </c>
      <c r="R30" s="12">
        <f t="shared" si="6"/>
        <v>0</v>
      </c>
      <c r="S30" s="12">
        <v>27410</v>
      </c>
      <c r="T30" s="12">
        <v>32</v>
      </c>
      <c r="U30" s="12">
        <v>32</v>
      </c>
      <c r="V30" s="11">
        <f t="shared" si="4"/>
        <v>0</v>
      </c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</row>
    <row r="31" spans="1:34" hidden="1">
      <c r="A31" s="5">
        <v>39</v>
      </c>
      <c r="B31" s="6" t="s">
        <v>95</v>
      </c>
      <c r="C31" s="6" t="s">
        <v>112</v>
      </c>
      <c r="D31" s="7" t="s">
        <v>52</v>
      </c>
      <c r="E31" s="7" t="s">
        <v>97</v>
      </c>
      <c r="F31" s="7" t="s">
        <v>39</v>
      </c>
      <c r="G31" s="8">
        <f t="shared" si="0"/>
        <v>0</v>
      </c>
      <c r="H31" s="20">
        <f t="shared" si="1"/>
        <v>0</v>
      </c>
      <c r="I31" s="8">
        <f t="shared" si="2"/>
        <v>1</v>
      </c>
      <c r="J31" s="10" t="s">
        <v>111</v>
      </c>
      <c r="K31" s="10"/>
      <c r="L31" s="10"/>
      <c r="M31" s="8">
        <f t="shared" si="3"/>
        <v>0</v>
      </c>
      <c r="N31" s="10"/>
      <c r="O31" s="10" t="s">
        <v>44</v>
      </c>
      <c r="P31" s="12">
        <v>1312</v>
      </c>
      <c r="Q31" s="12">
        <v>0</v>
      </c>
      <c r="R31" s="12">
        <v>0</v>
      </c>
      <c r="S31" s="12">
        <v>1312</v>
      </c>
      <c r="T31" s="12">
        <v>10</v>
      </c>
      <c r="U31" s="12">
        <v>10</v>
      </c>
      <c r="V31" s="11">
        <f t="shared" si="4"/>
        <v>0</v>
      </c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</row>
    <row r="32" spans="1:34" hidden="1">
      <c r="A32" s="5">
        <v>40</v>
      </c>
      <c r="B32" s="6" t="s">
        <v>95</v>
      </c>
      <c r="C32" s="6" t="s">
        <v>113</v>
      </c>
      <c r="D32" s="7" t="s">
        <v>47</v>
      </c>
      <c r="E32" s="7" t="s">
        <v>97</v>
      </c>
      <c r="F32" s="7" t="s">
        <v>39</v>
      </c>
      <c r="G32" s="8">
        <f t="shared" si="0"/>
        <v>0</v>
      </c>
      <c r="H32" s="20">
        <f t="shared" si="1"/>
        <v>0.83271375464684017</v>
      </c>
      <c r="I32" s="8">
        <f t="shared" si="2"/>
        <v>0.16728624535315986</v>
      </c>
      <c r="J32" s="10"/>
      <c r="K32" s="10"/>
      <c r="L32" s="10"/>
      <c r="M32" s="8">
        <f t="shared" si="3"/>
        <v>0.42857142857142855</v>
      </c>
      <c r="N32" s="10"/>
      <c r="O32" s="10" t="s">
        <v>44</v>
      </c>
      <c r="P32" s="12">
        <v>2690</v>
      </c>
      <c r="Q32" s="12">
        <v>0</v>
      </c>
      <c r="R32" s="12">
        <f t="shared" si="6"/>
        <v>2240</v>
      </c>
      <c r="S32" s="12">
        <v>450</v>
      </c>
      <c r="T32" s="12">
        <v>14</v>
      </c>
      <c r="U32" s="12">
        <v>8</v>
      </c>
      <c r="V32" s="11">
        <f t="shared" si="4"/>
        <v>6</v>
      </c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</row>
    <row r="33" spans="1:34" ht="28.8" hidden="1">
      <c r="A33" s="5">
        <v>41</v>
      </c>
      <c r="B33" s="19" t="s">
        <v>114</v>
      </c>
      <c r="C33" s="21" t="s">
        <v>115</v>
      </c>
      <c r="D33" s="19" t="s">
        <v>116</v>
      </c>
      <c r="E33" s="39" t="s">
        <v>87</v>
      </c>
      <c r="F33" s="19" t="s">
        <v>39</v>
      </c>
      <c r="G33" s="22">
        <v>0</v>
      </c>
      <c r="H33" s="22">
        <v>0</v>
      </c>
      <c r="I33" s="22">
        <v>1</v>
      </c>
      <c r="J33" s="23" t="s">
        <v>117</v>
      </c>
      <c r="K33" s="19" t="s">
        <v>118</v>
      </c>
      <c r="L33" s="19" t="s">
        <v>119</v>
      </c>
      <c r="M33" s="8">
        <f t="shared" si="3"/>
        <v>0</v>
      </c>
      <c r="N33" s="19" t="s">
        <v>119</v>
      </c>
      <c r="O33" s="19" t="s">
        <v>44</v>
      </c>
      <c r="P33" s="34">
        <v>2057</v>
      </c>
      <c r="Q33" s="34">
        <v>0</v>
      </c>
      <c r="R33" s="34">
        <v>0</v>
      </c>
      <c r="S33" s="34">
        <v>2057</v>
      </c>
      <c r="T33" s="25">
        <v>9</v>
      </c>
      <c r="U33" s="25">
        <v>9</v>
      </c>
      <c r="V33" s="11">
        <f t="shared" si="4"/>
        <v>0</v>
      </c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</row>
    <row r="34" spans="1:34" ht="28.8" hidden="1">
      <c r="A34" s="5">
        <v>42</v>
      </c>
      <c r="B34" s="19" t="s">
        <v>114</v>
      </c>
      <c r="C34" s="21" t="s">
        <v>120</v>
      </c>
      <c r="D34" s="19" t="s">
        <v>116</v>
      </c>
      <c r="E34" s="39" t="s">
        <v>87</v>
      </c>
      <c r="F34" s="19" t="s">
        <v>39</v>
      </c>
      <c r="G34" s="22">
        <v>0</v>
      </c>
      <c r="H34" s="22">
        <v>0</v>
      </c>
      <c r="I34" s="22">
        <v>1</v>
      </c>
      <c r="J34" s="23" t="s">
        <v>117</v>
      </c>
      <c r="K34" s="19" t="s">
        <v>118</v>
      </c>
      <c r="L34" s="23" t="s">
        <v>119</v>
      </c>
      <c r="M34" s="8">
        <f t="shared" si="3"/>
        <v>0</v>
      </c>
      <c r="N34" s="23" t="s">
        <v>119</v>
      </c>
      <c r="O34" s="19" t="s">
        <v>44</v>
      </c>
      <c r="P34" s="24">
        <v>2422</v>
      </c>
      <c r="Q34" s="24">
        <v>0</v>
      </c>
      <c r="R34" s="24">
        <v>0</v>
      </c>
      <c r="S34" s="24">
        <v>2422</v>
      </c>
      <c r="T34" s="25">
        <v>9</v>
      </c>
      <c r="U34" s="25">
        <v>9</v>
      </c>
      <c r="V34" s="11">
        <f t="shared" si="4"/>
        <v>0</v>
      </c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</row>
    <row r="35" spans="1:34" hidden="1">
      <c r="A35" s="5">
        <v>43</v>
      </c>
      <c r="B35" s="19" t="s">
        <v>114</v>
      </c>
      <c r="C35" s="21" t="s">
        <v>121</v>
      </c>
      <c r="D35" s="19" t="s">
        <v>47</v>
      </c>
      <c r="E35" s="39" t="s">
        <v>87</v>
      </c>
      <c r="F35" s="19" t="s">
        <v>39</v>
      </c>
      <c r="G35" s="22">
        <v>0.82</v>
      </c>
      <c r="H35" s="22">
        <v>0.08</v>
      </c>
      <c r="I35" s="22">
        <v>0.1</v>
      </c>
      <c r="J35" s="23" t="s">
        <v>119</v>
      </c>
      <c r="K35" s="23" t="s">
        <v>119</v>
      </c>
      <c r="L35" s="23" t="s">
        <v>119</v>
      </c>
      <c r="M35" s="8">
        <f t="shared" si="3"/>
        <v>0.3</v>
      </c>
      <c r="N35" s="23" t="s">
        <v>119</v>
      </c>
      <c r="O35" s="19" t="s">
        <v>65</v>
      </c>
      <c r="P35" s="24">
        <v>7880</v>
      </c>
      <c r="Q35" s="24">
        <v>6462</v>
      </c>
      <c r="R35" s="24">
        <v>630</v>
      </c>
      <c r="S35" s="24">
        <v>788</v>
      </c>
      <c r="T35" s="25">
        <v>20</v>
      </c>
      <c r="U35" s="25">
        <v>14</v>
      </c>
      <c r="V35" s="11">
        <f t="shared" si="4"/>
        <v>6</v>
      </c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</row>
    <row r="36" spans="1:34" hidden="1">
      <c r="A36" s="5">
        <v>44</v>
      </c>
      <c r="B36" s="19" t="s">
        <v>114</v>
      </c>
      <c r="C36" s="21" t="s">
        <v>106</v>
      </c>
      <c r="D36" s="19" t="s">
        <v>47</v>
      </c>
      <c r="E36" s="39" t="s">
        <v>87</v>
      </c>
      <c r="F36" s="19" t="s">
        <v>39</v>
      </c>
      <c r="G36" s="22">
        <v>0.3</v>
      </c>
      <c r="H36" s="22">
        <v>0.48</v>
      </c>
      <c r="I36" s="22">
        <v>0.22</v>
      </c>
      <c r="J36" s="23" t="s">
        <v>119</v>
      </c>
      <c r="K36" s="23" t="s">
        <v>119</v>
      </c>
      <c r="L36" s="23" t="s">
        <v>119</v>
      </c>
      <c r="M36" s="8">
        <f t="shared" si="3"/>
        <v>0.3</v>
      </c>
      <c r="N36" s="23" t="s">
        <v>119</v>
      </c>
      <c r="O36" s="19" t="s">
        <v>65</v>
      </c>
      <c r="P36" s="24">
        <v>8831</v>
      </c>
      <c r="Q36" s="24">
        <v>2649</v>
      </c>
      <c r="R36" s="24">
        <v>4239</v>
      </c>
      <c r="S36" s="24">
        <v>1943</v>
      </c>
      <c r="T36" s="25">
        <v>20</v>
      </c>
      <c r="U36" s="25">
        <v>14</v>
      </c>
      <c r="V36" s="11">
        <f t="shared" si="4"/>
        <v>6</v>
      </c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</row>
    <row r="37" spans="1:34" hidden="1">
      <c r="A37" s="5">
        <v>45</v>
      </c>
      <c r="B37" s="19" t="s">
        <v>114</v>
      </c>
      <c r="C37" s="21" t="s">
        <v>102</v>
      </c>
      <c r="D37" s="19" t="s">
        <v>47</v>
      </c>
      <c r="E37" s="39" t="s">
        <v>87</v>
      </c>
      <c r="F37" s="19" t="s">
        <v>39</v>
      </c>
      <c r="G37" s="22">
        <v>0.8</v>
      </c>
      <c r="H37" s="22">
        <v>0.06</v>
      </c>
      <c r="I37" s="22">
        <v>0.14000000000000001</v>
      </c>
      <c r="J37" s="23" t="s">
        <v>119</v>
      </c>
      <c r="K37" s="23" t="s">
        <v>119</v>
      </c>
      <c r="L37" s="23" t="s">
        <v>119</v>
      </c>
      <c r="M37" s="8">
        <f t="shared" si="3"/>
        <v>0.4</v>
      </c>
      <c r="N37" s="23" t="s">
        <v>119</v>
      </c>
      <c r="O37" s="19" t="s">
        <v>44</v>
      </c>
      <c r="P37" s="24">
        <v>11827</v>
      </c>
      <c r="Q37" s="24">
        <v>9462</v>
      </c>
      <c r="R37" s="24">
        <v>710</v>
      </c>
      <c r="S37" s="24">
        <v>1656</v>
      </c>
      <c r="T37" s="25">
        <v>35</v>
      </c>
      <c r="U37" s="25">
        <v>21</v>
      </c>
      <c r="V37" s="11">
        <f t="shared" si="4"/>
        <v>14</v>
      </c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</row>
    <row r="38" spans="1:34" hidden="1">
      <c r="A38" s="5">
        <v>46</v>
      </c>
      <c r="B38" s="19" t="s">
        <v>114</v>
      </c>
      <c r="C38" s="21" t="s">
        <v>122</v>
      </c>
      <c r="D38" s="19" t="s">
        <v>47</v>
      </c>
      <c r="E38" s="19" t="s">
        <v>87</v>
      </c>
      <c r="F38" s="19" t="s">
        <v>39</v>
      </c>
      <c r="G38" s="22">
        <v>0.75</v>
      </c>
      <c r="H38" s="22">
        <v>0</v>
      </c>
      <c r="I38" s="22">
        <v>0.25</v>
      </c>
      <c r="J38" s="23" t="s">
        <v>119</v>
      </c>
      <c r="K38" s="23" t="s">
        <v>119</v>
      </c>
      <c r="L38" s="23" t="s">
        <v>119</v>
      </c>
      <c r="M38" s="8">
        <f t="shared" si="3"/>
        <v>0.73333333333333328</v>
      </c>
      <c r="N38" s="23" t="s">
        <v>119</v>
      </c>
      <c r="O38" s="19" t="s">
        <v>123</v>
      </c>
      <c r="P38" s="24">
        <v>7880</v>
      </c>
      <c r="Q38" s="24">
        <v>5910</v>
      </c>
      <c r="R38" s="24">
        <v>0</v>
      </c>
      <c r="S38" s="24">
        <v>1970</v>
      </c>
      <c r="T38" s="25">
        <v>15</v>
      </c>
      <c r="U38" s="25">
        <v>4</v>
      </c>
      <c r="V38" s="11">
        <f t="shared" si="4"/>
        <v>11</v>
      </c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</row>
    <row r="39" spans="1:34" ht="43.2" hidden="1">
      <c r="A39" s="5">
        <v>47</v>
      </c>
      <c r="B39" s="19" t="s">
        <v>114</v>
      </c>
      <c r="C39" s="21" t="s">
        <v>124</v>
      </c>
      <c r="D39" s="19" t="s">
        <v>125</v>
      </c>
      <c r="E39" s="39" t="s">
        <v>87</v>
      </c>
      <c r="F39" s="19" t="s">
        <v>39</v>
      </c>
      <c r="G39" s="22">
        <v>0.65</v>
      </c>
      <c r="H39" s="22">
        <v>0.1</v>
      </c>
      <c r="I39" s="22">
        <v>0.25</v>
      </c>
      <c r="J39" s="23" t="s">
        <v>126</v>
      </c>
      <c r="K39" s="23" t="s">
        <v>127</v>
      </c>
      <c r="L39" s="7" t="s">
        <v>55</v>
      </c>
      <c r="M39" s="8">
        <f t="shared" si="3"/>
        <v>0.75</v>
      </c>
      <c r="N39" s="23" t="s">
        <v>119</v>
      </c>
      <c r="O39" s="19" t="s">
        <v>65</v>
      </c>
      <c r="P39" s="24">
        <v>2321</v>
      </c>
      <c r="Q39" s="24">
        <v>1509</v>
      </c>
      <c r="R39" s="24">
        <v>232</v>
      </c>
      <c r="S39" s="24">
        <v>580</v>
      </c>
      <c r="T39" s="25">
        <v>20</v>
      </c>
      <c r="U39" s="25">
        <v>5</v>
      </c>
      <c r="V39" s="11">
        <f t="shared" si="4"/>
        <v>15</v>
      </c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</row>
    <row r="40" spans="1:34" ht="43.2" hidden="1">
      <c r="A40" s="5">
        <v>48</v>
      </c>
      <c r="B40" s="19" t="s">
        <v>114</v>
      </c>
      <c r="C40" s="21" t="s">
        <v>128</v>
      </c>
      <c r="D40" s="19" t="s">
        <v>125</v>
      </c>
      <c r="E40" s="39" t="s">
        <v>87</v>
      </c>
      <c r="F40" s="19" t="s">
        <v>39</v>
      </c>
      <c r="G40" s="22">
        <v>0</v>
      </c>
      <c r="H40" s="35">
        <v>0.65</v>
      </c>
      <c r="I40" s="22">
        <v>0.35</v>
      </c>
      <c r="J40" s="23" t="s">
        <v>126</v>
      </c>
      <c r="K40" s="23" t="s">
        <v>127</v>
      </c>
      <c r="L40" s="7" t="s">
        <v>77</v>
      </c>
      <c r="M40" s="8">
        <f t="shared" si="3"/>
        <v>0.7142857142857143</v>
      </c>
      <c r="N40" s="19" t="s">
        <v>119</v>
      </c>
      <c r="O40" s="19" t="s">
        <v>123</v>
      </c>
      <c r="P40" s="24">
        <v>5501</v>
      </c>
      <c r="Q40" s="24">
        <v>0</v>
      </c>
      <c r="R40" s="24">
        <v>3576</v>
      </c>
      <c r="S40" s="24">
        <v>1925</v>
      </c>
      <c r="T40" s="25">
        <v>14</v>
      </c>
      <c r="U40" s="25">
        <v>4</v>
      </c>
      <c r="V40" s="11">
        <f t="shared" si="4"/>
        <v>10</v>
      </c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</row>
    <row r="41" spans="1:34" ht="43.2" hidden="1">
      <c r="A41" s="5">
        <v>49</v>
      </c>
      <c r="B41" s="19" t="s">
        <v>114</v>
      </c>
      <c r="C41" s="21" t="s">
        <v>129</v>
      </c>
      <c r="D41" s="19" t="s">
        <v>125</v>
      </c>
      <c r="E41" s="39" t="s">
        <v>87</v>
      </c>
      <c r="F41" s="19" t="s">
        <v>39</v>
      </c>
      <c r="G41" s="22">
        <v>0</v>
      </c>
      <c r="H41" s="35">
        <v>0.75</v>
      </c>
      <c r="I41" s="22">
        <v>0.25</v>
      </c>
      <c r="J41" s="23" t="s">
        <v>126</v>
      </c>
      <c r="K41" s="23" t="s">
        <v>127</v>
      </c>
      <c r="L41" s="7" t="s">
        <v>55</v>
      </c>
      <c r="M41" s="8">
        <f t="shared" si="3"/>
        <v>0.72222222222222221</v>
      </c>
      <c r="N41" s="19" t="s">
        <v>119</v>
      </c>
      <c r="O41" s="19" t="s">
        <v>65</v>
      </c>
      <c r="P41" s="24">
        <v>4131</v>
      </c>
      <c r="Q41" s="24">
        <v>0</v>
      </c>
      <c r="R41" s="24">
        <v>3098</v>
      </c>
      <c r="S41" s="24">
        <v>1033</v>
      </c>
      <c r="T41" s="25">
        <v>18</v>
      </c>
      <c r="U41" s="25">
        <v>5</v>
      </c>
      <c r="V41" s="11">
        <f t="shared" si="4"/>
        <v>13</v>
      </c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</row>
    <row r="42" spans="1:34" ht="28.8" hidden="1">
      <c r="A42" s="5">
        <v>50</v>
      </c>
      <c r="B42" s="19" t="s">
        <v>114</v>
      </c>
      <c r="C42" s="21" t="s">
        <v>130</v>
      </c>
      <c r="D42" s="19" t="s">
        <v>38</v>
      </c>
      <c r="E42" s="39" t="s">
        <v>87</v>
      </c>
      <c r="F42" s="19" t="s">
        <v>62</v>
      </c>
      <c r="G42" s="22">
        <v>0</v>
      </c>
      <c r="H42" s="22">
        <v>0</v>
      </c>
      <c r="I42" s="22">
        <v>1</v>
      </c>
      <c r="J42" s="23" t="s">
        <v>117</v>
      </c>
      <c r="K42" s="19" t="s">
        <v>118</v>
      </c>
      <c r="L42" s="7" t="s">
        <v>77</v>
      </c>
      <c r="M42" s="8">
        <f t="shared" si="3"/>
        <v>0</v>
      </c>
      <c r="N42" s="19" t="s">
        <v>119</v>
      </c>
      <c r="O42" s="19" t="s">
        <v>123</v>
      </c>
      <c r="P42" s="24">
        <v>1867</v>
      </c>
      <c r="Q42" s="24">
        <v>0</v>
      </c>
      <c r="R42" s="24">
        <v>0</v>
      </c>
      <c r="S42" s="24">
        <v>1867</v>
      </c>
      <c r="T42" s="25">
        <v>20</v>
      </c>
      <c r="U42" s="25">
        <v>20</v>
      </c>
      <c r="V42" s="11">
        <f t="shared" si="4"/>
        <v>0</v>
      </c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</row>
    <row r="43" spans="1:34" ht="43.2" hidden="1">
      <c r="A43" s="5">
        <v>51</v>
      </c>
      <c r="B43" s="19" t="s">
        <v>114</v>
      </c>
      <c r="C43" s="21" t="s">
        <v>131</v>
      </c>
      <c r="D43" s="19" t="s">
        <v>47</v>
      </c>
      <c r="E43" s="39" t="s">
        <v>87</v>
      </c>
      <c r="F43" s="19" t="s">
        <v>39</v>
      </c>
      <c r="G43" s="22">
        <v>0</v>
      </c>
      <c r="H43" s="35">
        <v>0.6</v>
      </c>
      <c r="I43" s="22">
        <v>0.4</v>
      </c>
      <c r="J43" s="23" t="s">
        <v>132</v>
      </c>
      <c r="K43" s="23" t="s">
        <v>133</v>
      </c>
      <c r="L43" s="7" t="s">
        <v>55</v>
      </c>
      <c r="M43" s="8">
        <f t="shared" si="3"/>
        <v>0.84</v>
      </c>
      <c r="N43" s="23" t="s">
        <v>119</v>
      </c>
      <c r="O43" s="19" t="s">
        <v>123</v>
      </c>
      <c r="P43" s="24">
        <v>3072</v>
      </c>
      <c r="Q43" s="24">
        <v>0</v>
      </c>
      <c r="R43" s="24">
        <v>1843</v>
      </c>
      <c r="S43" s="24">
        <v>1229</v>
      </c>
      <c r="T43" s="25">
        <v>25</v>
      </c>
      <c r="U43" s="25">
        <v>4</v>
      </c>
      <c r="V43" s="11">
        <f t="shared" si="4"/>
        <v>21</v>
      </c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</row>
    <row r="44" spans="1:34" ht="28.8" hidden="1">
      <c r="A44" s="5">
        <v>52</v>
      </c>
      <c r="B44" s="19" t="s">
        <v>114</v>
      </c>
      <c r="C44" s="21" t="s">
        <v>134</v>
      </c>
      <c r="D44" s="19" t="s">
        <v>38</v>
      </c>
      <c r="E44" s="39" t="s">
        <v>87</v>
      </c>
      <c r="F44" s="19" t="s">
        <v>62</v>
      </c>
      <c r="G44" s="22">
        <v>0</v>
      </c>
      <c r="H44" s="22">
        <v>0</v>
      </c>
      <c r="I44" s="22">
        <v>1</v>
      </c>
      <c r="J44" s="23" t="s">
        <v>117</v>
      </c>
      <c r="K44" s="19" t="s">
        <v>118</v>
      </c>
      <c r="L44" s="7" t="s">
        <v>55</v>
      </c>
      <c r="M44" s="8">
        <f t="shared" si="3"/>
        <v>0</v>
      </c>
      <c r="N44" s="23" t="s">
        <v>119</v>
      </c>
      <c r="O44" s="19" t="s">
        <v>123</v>
      </c>
      <c r="P44" s="24">
        <v>1812</v>
      </c>
      <c r="Q44" s="24">
        <v>0</v>
      </c>
      <c r="R44" s="24">
        <v>0</v>
      </c>
      <c r="S44" s="24">
        <v>1812</v>
      </c>
      <c r="T44" s="25">
        <v>20</v>
      </c>
      <c r="U44" s="25">
        <v>20</v>
      </c>
      <c r="V44" s="11">
        <f t="shared" si="4"/>
        <v>0</v>
      </c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</row>
    <row r="45" spans="1:34" ht="43.2" hidden="1">
      <c r="A45" s="5">
        <v>53</v>
      </c>
      <c r="B45" s="19" t="s">
        <v>114</v>
      </c>
      <c r="C45" s="21" t="s">
        <v>101</v>
      </c>
      <c r="D45" s="19" t="s">
        <v>38</v>
      </c>
      <c r="E45" s="19" t="s">
        <v>87</v>
      </c>
      <c r="F45" s="19" t="s">
        <v>62</v>
      </c>
      <c r="G45" s="22">
        <v>0</v>
      </c>
      <c r="H45" s="22">
        <v>0</v>
      </c>
      <c r="I45" s="22">
        <v>1</v>
      </c>
      <c r="J45" s="23" t="s">
        <v>58</v>
      </c>
      <c r="K45" s="23" t="s">
        <v>59</v>
      </c>
      <c r="L45" s="7" t="s">
        <v>55</v>
      </c>
      <c r="M45" s="8">
        <f t="shared" si="3"/>
        <v>0</v>
      </c>
      <c r="N45" s="23" t="s">
        <v>119</v>
      </c>
      <c r="O45" s="19" t="s">
        <v>123</v>
      </c>
      <c r="P45" s="24">
        <v>1110</v>
      </c>
      <c r="Q45" s="24">
        <v>0</v>
      </c>
      <c r="R45" s="24">
        <v>0</v>
      </c>
      <c r="S45" s="24">
        <v>1110</v>
      </c>
      <c r="T45" s="25">
        <v>19</v>
      </c>
      <c r="U45" s="25">
        <v>19</v>
      </c>
      <c r="V45" s="11">
        <f t="shared" si="4"/>
        <v>0</v>
      </c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</row>
    <row r="46" spans="1:34" ht="28.8" hidden="1">
      <c r="A46" s="5">
        <v>54</v>
      </c>
      <c r="B46" s="19" t="s">
        <v>114</v>
      </c>
      <c r="C46" s="21" t="s">
        <v>135</v>
      </c>
      <c r="D46" s="19" t="s">
        <v>38</v>
      </c>
      <c r="E46" s="39" t="s">
        <v>87</v>
      </c>
      <c r="F46" s="19" t="s">
        <v>62</v>
      </c>
      <c r="G46" s="22">
        <v>0</v>
      </c>
      <c r="H46" s="22">
        <v>0</v>
      </c>
      <c r="I46" s="22">
        <v>1</v>
      </c>
      <c r="J46" s="23" t="s">
        <v>117</v>
      </c>
      <c r="K46" s="19" t="s">
        <v>118</v>
      </c>
      <c r="L46" s="7" t="s">
        <v>77</v>
      </c>
      <c r="M46" s="8">
        <f t="shared" si="3"/>
        <v>0</v>
      </c>
      <c r="N46" s="23" t="s">
        <v>119</v>
      </c>
      <c r="O46" s="19" t="s">
        <v>123</v>
      </c>
      <c r="P46" s="24">
        <v>6711</v>
      </c>
      <c r="Q46" s="24">
        <v>0</v>
      </c>
      <c r="R46" s="24">
        <v>0</v>
      </c>
      <c r="S46" s="24">
        <v>6711</v>
      </c>
      <c r="T46" s="25">
        <v>27</v>
      </c>
      <c r="U46" s="25">
        <v>27</v>
      </c>
      <c r="V46" s="11">
        <f t="shared" si="4"/>
        <v>0</v>
      </c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</row>
    <row r="47" spans="1:34" ht="43.2" hidden="1">
      <c r="A47" s="5">
        <v>55</v>
      </c>
      <c r="B47" s="19" t="s">
        <v>114</v>
      </c>
      <c r="C47" s="21" t="s">
        <v>99</v>
      </c>
      <c r="D47" s="19" t="s">
        <v>38</v>
      </c>
      <c r="E47" s="39" t="s">
        <v>87</v>
      </c>
      <c r="F47" s="19" t="s">
        <v>62</v>
      </c>
      <c r="G47" s="22">
        <v>0</v>
      </c>
      <c r="H47" s="22">
        <v>0</v>
      </c>
      <c r="I47" s="22">
        <v>1</v>
      </c>
      <c r="J47" s="23" t="s">
        <v>58</v>
      </c>
      <c r="K47" s="23" t="s">
        <v>59</v>
      </c>
      <c r="L47" s="7" t="s">
        <v>55</v>
      </c>
      <c r="M47" s="8">
        <f t="shared" si="3"/>
        <v>0</v>
      </c>
      <c r="N47" s="23" t="s">
        <v>119</v>
      </c>
      <c r="O47" s="23" t="s">
        <v>65</v>
      </c>
      <c r="P47" s="24">
        <v>6541</v>
      </c>
      <c r="Q47" s="24">
        <v>0</v>
      </c>
      <c r="R47" s="24">
        <v>0</v>
      </c>
      <c r="S47" s="24">
        <v>6541</v>
      </c>
      <c r="T47" s="25">
        <v>34</v>
      </c>
      <c r="U47" s="25">
        <v>34</v>
      </c>
      <c r="V47" s="11">
        <f t="shared" si="4"/>
        <v>0</v>
      </c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</row>
    <row r="48" spans="1:34" ht="28.8" hidden="1">
      <c r="A48" s="5">
        <v>56</v>
      </c>
      <c r="B48" s="26" t="s">
        <v>136</v>
      </c>
      <c r="C48" s="26" t="s">
        <v>137</v>
      </c>
      <c r="D48" s="26" t="s">
        <v>38</v>
      </c>
      <c r="E48" s="38" t="s">
        <v>87</v>
      </c>
      <c r="F48" s="19" t="s">
        <v>62</v>
      </c>
      <c r="G48" s="22">
        <v>0</v>
      </c>
      <c r="H48" s="22">
        <v>0</v>
      </c>
      <c r="I48" s="22">
        <v>1</v>
      </c>
      <c r="J48" s="26" t="s">
        <v>138</v>
      </c>
      <c r="K48" s="23" t="s">
        <v>59</v>
      </c>
      <c r="L48" s="26"/>
      <c r="M48" s="8">
        <f t="shared" si="3"/>
        <v>0.75</v>
      </c>
      <c r="N48" s="26"/>
      <c r="O48" s="26" t="s">
        <v>44</v>
      </c>
      <c r="P48" s="25">
        <v>5200</v>
      </c>
      <c r="Q48" s="25">
        <v>0</v>
      </c>
      <c r="R48" s="24">
        <v>0</v>
      </c>
      <c r="S48" s="25">
        <v>5200</v>
      </c>
      <c r="T48" s="25">
        <v>20</v>
      </c>
      <c r="U48" s="25">
        <v>5</v>
      </c>
      <c r="V48" s="11">
        <f t="shared" si="4"/>
        <v>15</v>
      </c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</row>
  </sheetData>
  <autoFilter ref="A2:V48" xr:uid="{00000000-0001-0000-0000-000000000000}">
    <filterColumn colId="1">
      <filters>
        <filter val="Blaze CMS"/>
      </filters>
    </filterColumn>
    <filterColumn colId="4">
      <filters>
        <filter val="Implementation"/>
      </filters>
    </filterColumn>
  </autoFilter>
  <mergeCells count="3">
    <mergeCell ref="Q1:V1"/>
    <mergeCell ref="W1:AH1"/>
    <mergeCell ref="A1:P1"/>
  </mergeCells>
  <pageMargins left="0.69930555555555596" right="0.69930555555555596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8C833-855A-46C3-A0D7-DB72F4BCAD0F}">
  <sheetPr filterMode="1"/>
  <dimension ref="A1:N49"/>
  <sheetViews>
    <sheetView workbookViewId="0">
      <selection activeCell="C54" sqref="C54"/>
    </sheetView>
  </sheetViews>
  <sheetFormatPr defaultRowHeight="14.4"/>
  <cols>
    <col min="2" max="2" width="10.69921875" customWidth="1"/>
    <col min="3" max="3" width="26.69921875" customWidth="1"/>
    <col min="4" max="4" width="20" customWidth="1"/>
    <col min="5" max="5" width="12.59765625" customWidth="1"/>
    <col min="6" max="6" width="16.19921875" customWidth="1"/>
    <col min="7" max="7" width="18.59765625" customWidth="1"/>
    <col min="8" max="8" width="12.19921875" customWidth="1"/>
    <col min="9" max="9" width="8.5" customWidth="1"/>
    <col min="10" max="10" width="11.3984375" customWidth="1"/>
    <col min="11" max="11" width="16.09765625" bestFit="1" customWidth="1"/>
    <col min="12" max="12" width="19.8984375" bestFit="1" customWidth="1"/>
  </cols>
  <sheetData>
    <row r="1" spans="1:14">
      <c r="A1" s="44" t="s">
        <v>139</v>
      </c>
      <c r="B1" s="44"/>
      <c r="C1" s="44"/>
      <c r="D1" s="44"/>
      <c r="E1" s="45">
        <v>46327</v>
      </c>
      <c r="F1" s="46"/>
      <c r="G1" s="46"/>
      <c r="H1" s="46"/>
      <c r="I1" s="47"/>
      <c r="J1" s="48">
        <v>46357</v>
      </c>
      <c r="K1" s="48"/>
      <c r="L1" s="48"/>
      <c r="M1" s="48"/>
      <c r="N1" s="48"/>
    </row>
    <row r="2" spans="1:14">
      <c r="A2" s="4" t="s">
        <v>3</v>
      </c>
      <c r="B2" s="4" t="s">
        <v>4</v>
      </c>
      <c r="C2" s="4" t="s">
        <v>5</v>
      </c>
      <c r="D2" s="4" t="s">
        <v>6</v>
      </c>
      <c r="E2" s="30" t="s">
        <v>140</v>
      </c>
      <c r="F2" s="30" t="s">
        <v>141</v>
      </c>
      <c r="G2" s="30" t="s">
        <v>142</v>
      </c>
      <c r="H2" s="30" t="s">
        <v>143</v>
      </c>
      <c r="I2" s="30" t="s">
        <v>144</v>
      </c>
      <c r="J2" s="30" t="s">
        <v>140</v>
      </c>
      <c r="K2" s="30" t="s">
        <v>141</v>
      </c>
      <c r="L2" s="30" t="s">
        <v>142</v>
      </c>
      <c r="M2" s="30" t="s">
        <v>143</v>
      </c>
      <c r="N2" s="30" t="s">
        <v>144</v>
      </c>
    </row>
    <row r="3" spans="1:14" hidden="1">
      <c r="A3" s="5">
        <v>1</v>
      </c>
      <c r="B3" s="6" t="s">
        <v>36</v>
      </c>
      <c r="C3" s="6" t="s">
        <v>37</v>
      </c>
      <c r="D3" s="7" t="s">
        <v>38</v>
      </c>
      <c r="E3" s="36"/>
      <c r="F3" s="36"/>
      <c r="G3" s="36"/>
      <c r="H3" s="36"/>
      <c r="I3" s="36"/>
      <c r="J3" s="36"/>
      <c r="K3" s="36"/>
      <c r="L3" s="36"/>
      <c r="M3" s="36"/>
      <c r="N3" s="36"/>
    </row>
    <row r="4" spans="1:14" hidden="1">
      <c r="A4" s="5">
        <v>2</v>
      </c>
      <c r="B4" s="6" t="s">
        <v>45</v>
      </c>
      <c r="C4" s="9" t="s">
        <v>46</v>
      </c>
      <c r="D4" s="7" t="s">
        <v>47</v>
      </c>
      <c r="E4" s="36"/>
      <c r="F4" s="36"/>
      <c r="G4" s="36"/>
      <c r="H4" s="36"/>
      <c r="I4" s="36"/>
      <c r="J4" s="36"/>
      <c r="K4" s="36"/>
      <c r="L4" s="36"/>
      <c r="M4" s="36"/>
      <c r="N4" s="36"/>
    </row>
    <row r="5" spans="1:14" hidden="1">
      <c r="A5" s="5">
        <v>3</v>
      </c>
      <c r="B5" s="9" t="s">
        <v>45</v>
      </c>
      <c r="C5" s="9" t="s">
        <v>51</v>
      </c>
      <c r="D5" s="7" t="s">
        <v>52</v>
      </c>
      <c r="E5" s="36"/>
      <c r="F5" s="36"/>
      <c r="G5" s="36"/>
      <c r="H5" s="36"/>
      <c r="I5" s="36"/>
      <c r="J5" s="36"/>
      <c r="K5" s="36"/>
      <c r="L5" s="36"/>
      <c r="M5" s="36"/>
      <c r="N5" s="36"/>
    </row>
    <row r="6" spans="1:14" hidden="1">
      <c r="A6" s="5">
        <v>4</v>
      </c>
      <c r="B6" s="9" t="s">
        <v>45</v>
      </c>
      <c r="C6" s="28" t="s">
        <v>57</v>
      </c>
      <c r="D6" s="7" t="s">
        <v>52</v>
      </c>
      <c r="E6" s="36"/>
      <c r="F6" s="36"/>
      <c r="G6" s="36"/>
      <c r="H6" s="36"/>
      <c r="I6" s="36"/>
      <c r="J6" s="36"/>
      <c r="K6" s="36"/>
      <c r="L6" s="36"/>
      <c r="M6" s="36"/>
      <c r="N6" s="36"/>
    </row>
    <row r="7" spans="1:14" hidden="1">
      <c r="A7" s="5">
        <v>5</v>
      </c>
      <c r="B7" s="9" t="s">
        <v>45</v>
      </c>
      <c r="C7" s="9" t="s">
        <v>61</v>
      </c>
      <c r="D7" s="7" t="s">
        <v>47</v>
      </c>
      <c r="E7" s="36">
        <v>0</v>
      </c>
      <c r="F7" s="36">
        <v>0</v>
      </c>
      <c r="G7" s="36">
        <v>0</v>
      </c>
      <c r="H7" s="36">
        <v>0</v>
      </c>
      <c r="I7" s="36"/>
      <c r="J7" s="36"/>
      <c r="K7" s="36">
        <v>0</v>
      </c>
      <c r="L7" s="36">
        <v>0</v>
      </c>
      <c r="M7" s="36"/>
      <c r="N7" s="36"/>
    </row>
    <row r="8" spans="1:14" hidden="1">
      <c r="A8" s="5">
        <v>6</v>
      </c>
      <c r="B8" s="9" t="s">
        <v>45</v>
      </c>
      <c r="C8" s="29" t="s">
        <v>66</v>
      </c>
      <c r="D8" s="7" t="s">
        <v>52</v>
      </c>
      <c r="E8" s="36"/>
      <c r="F8" s="36"/>
      <c r="G8" s="36"/>
      <c r="H8" s="36"/>
      <c r="I8" s="36"/>
      <c r="J8" s="36"/>
      <c r="K8" s="36"/>
      <c r="L8" s="36"/>
      <c r="M8" s="36"/>
      <c r="N8" s="36"/>
    </row>
    <row r="9" spans="1:14" hidden="1">
      <c r="A9" s="5">
        <v>7</v>
      </c>
      <c r="B9" s="9" t="s">
        <v>45</v>
      </c>
      <c r="C9" s="29" t="s">
        <v>70</v>
      </c>
      <c r="D9" s="7" t="s">
        <v>52</v>
      </c>
      <c r="E9" s="36"/>
      <c r="F9" s="36"/>
      <c r="G9" s="36"/>
      <c r="H9" s="36"/>
      <c r="I9" s="36"/>
      <c r="J9" s="36"/>
      <c r="K9" s="36"/>
      <c r="L9" s="36"/>
      <c r="M9" s="36"/>
      <c r="N9" s="36"/>
    </row>
    <row r="10" spans="1:14" hidden="1">
      <c r="A10" s="5">
        <v>8</v>
      </c>
      <c r="B10" s="9" t="s">
        <v>45</v>
      </c>
      <c r="C10" s="9" t="s">
        <v>71</v>
      </c>
      <c r="D10" s="7" t="s">
        <v>72</v>
      </c>
      <c r="E10" s="36">
        <v>6</v>
      </c>
      <c r="F10" s="36">
        <v>180</v>
      </c>
      <c r="G10" s="36"/>
      <c r="H10" s="36"/>
      <c r="I10" s="36"/>
      <c r="J10" s="36"/>
      <c r="K10" s="36">
        <v>2</v>
      </c>
      <c r="L10" s="36">
        <v>60</v>
      </c>
      <c r="M10" s="36"/>
      <c r="N10" s="36"/>
    </row>
    <row r="11" spans="1:14" hidden="1">
      <c r="A11" s="5">
        <v>9</v>
      </c>
      <c r="B11" s="9" t="s">
        <v>45</v>
      </c>
      <c r="C11" s="9" t="s">
        <v>74</v>
      </c>
      <c r="D11" s="7" t="s">
        <v>47</v>
      </c>
      <c r="E11" s="36">
        <v>1</v>
      </c>
      <c r="F11" s="36">
        <v>24</v>
      </c>
      <c r="G11" s="36"/>
      <c r="H11" s="36"/>
      <c r="I11" s="36"/>
      <c r="J11" s="36"/>
      <c r="K11" s="36">
        <v>2</v>
      </c>
      <c r="L11" s="36">
        <v>40</v>
      </c>
      <c r="M11" s="36"/>
      <c r="N11" s="36"/>
    </row>
    <row r="12" spans="1:14" hidden="1">
      <c r="A12" s="5">
        <v>10</v>
      </c>
      <c r="B12" s="9" t="s">
        <v>45</v>
      </c>
      <c r="C12" s="9" t="s">
        <v>79</v>
      </c>
      <c r="D12" s="10" t="s">
        <v>80</v>
      </c>
      <c r="E12" s="36">
        <v>1</v>
      </c>
      <c r="F12" s="36">
        <v>10</v>
      </c>
      <c r="G12" s="36">
        <v>0</v>
      </c>
      <c r="H12" s="36">
        <v>0</v>
      </c>
      <c r="I12" s="36"/>
      <c r="J12" s="36"/>
      <c r="K12" s="36">
        <v>2</v>
      </c>
      <c r="L12" s="36">
        <v>24</v>
      </c>
      <c r="M12" s="36"/>
      <c r="N12" s="36"/>
    </row>
    <row r="13" spans="1:14" hidden="1">
      <c r="A13" s="5">
        <v>11</v>
      </c>
      <c r="B13" s="6" t="s">
        <v>82</v>
      </c>
      <c r="C13" s="6" t="s">
        <v>83</v>
      </c>
      <c r="D13" s="7" t="s">
        <v>47</v>
      </c>
      <c r="E13" s="36"/>
      <c r="F13" s="36"/>
      <c r="G13" s="36"/>
      <c r="H13" s="36"/>
      <c r="I13" s="36"/>
      <c r="J13" s="36"/>
      <c r="K13" s="36"/>
      <c r="L13" s="36"/>
      <c r="M13" s="36"/>
      <c r="N13" s="36"/>
    </row>
    <row r="14" spans="1:14" hidden="1">
      <c r="A14" s="5">
        <v>12</v>
      </c>
      <c r="B14" s="6" t="s">
        <v>82</v>
      </c>
      <c r="C14" s="6" t="s">
        <v>86</v>
      </c>
      <c r="D14" s="7" t="s">
        <v>47</v>
      </c>
      <c r="E14" s="36">
        <v>3</v>
      </c>
      <c r="F14" s="36">
        <v>30</v>
      </c>
      <c r="G14" s="36">
        <v>20</v>
      </c>
      <c r="H14" s="36">
        <f t="shared" ref="H14:H47" si="0">(F14-G14)</f>
        <v>10</v>
      </c>
      <c r="I14" s="37">
        <f t="shared" ref="I14:I42" si="1">(H14/F14)</f>
        <v>0.33333333333333331</v>
      </c>
      <c r="J14" s="36"/>
      <c r="K14" s="36"/>
      <c r="L14" s="36"/>
      <c r="M14" s="36"/>
      <c r="N14" s="36"/>
    </row>
    <row r="15" spans="1:14" hidden="1">
      <c r="A15" s="5">
        <v>13</v>
      </c>
      <c r="B15" s="6" t="s">
        <v>82</v>
      </c>
      <c r="C15" s="6" t="s">
        <v>89</v>
      </c>
      <c r="D15" s="7" t="s">
        <v>47</v>
      </c>
      <c r="E15" s="36"/>
      <c r="F15" s="36"/>
      <c r="G15" s="36"/>
      <c r="H15" s="36">
        <f t="shared" si="0"/>
        <v>0</v>
      </c>
      <c r="I15" s="37" t="e">
        <f t="shared" si="1"/>
        <v>#DIV/0!</v>
      </c>
      <c r="J15" s="36"/>
      <c r="K15" s="36"/>
      <c r="L15" s="36"/>
      <c r="M15" s="36"/>
      <c r="N15" s="36"/>
    </row>
    <row r="16" spans="1:14" hidden="1">
      <c r="A16" s="5">
        <v>14</v>
      </c>
      <c r="B16" s="6" t="s">
        <v>82</v>
      </c>
      <c r="C16" s="6" t="s">
        <v>145</v>
      </c>
      <c r="D16" s="7" t="s">
        <v>47</v>
      </c>
      <c r="E16" s="36"/>
      <c r="F16" s="36"/>
      <c r="G16" s="36"/>
      <c r="H16" s="36">
        <f t="shared" si="0"/>
        <v>0</v>
      </c>
      <c r="I16" s="37" t="e">
        <f t="shared" si="1"/>
        <v>#DIV/0!</v>
      </c>
      <c r="J16" s="36"/>
      <c r="K16" s="36"/>
      <c r="L16" s="36"/>
      <c r="M16" s="36"/>
      <c r="N16" s="36"/>
    </row>
    <row r="17" spans="1:14" hidden="1">
      <c r="A17" s="5">
        <v>15</v>
      </c>
      <c r="B17" s="6" t="s">
        <v>82</v>
      </c>
      <c r="C17" s="6" t="s">
        <v>91</v>
      </c>
      <c r="D17" s="7" t="s">
        <v>47</v>
      </c>
      <c r="E17" s="36"/>
      <c r="F17" s="36"/>
      <c r="G17" s="36"/>
      <c r="H17" s="36">
        <f t="shared" si="0"/>
        <v>0</v>
      </c>
      <c r="I17" s="37" t="e">
        <f t="shared" si="1"/>
        <v>#DIV/0!</v>
      </c>
      <c r="J17" s="36"/>
      <c r="K17" s="36"/>
      <c r="L17" s="36"/>
      <c r="M17" s="36"/>
      <c r="N17" s="36"/>
    </row>
    <row r="18" spans="1:14" hidden="1">
      <c r="A18" s="5">
        <v>16</v>
      </c>
      <c r="B18" s="9" t="s">
        <v>92</v>
      </c>
      <c r="C18" s="9" t="s">
        <v>93</v>
      </c>
      <c r="D18" s="7" t="s">
        <v>38</v>
      </c>
      <c r="E18" s="36"/>
      <c r="F18" s="36"/>
      <c r="G18" s="36"/>
      <c r="H18" s="36">
        <f t="shared" si="0"/>
        <v>0</v>
      </c>
      <c r="I18" s="37" t="e">
        <f t="shared" si="1"/>
        <v>#DIV/0!</v>
      </c>
      <c r="J18" s="36"/>
      <c r="K18" s="36"/>
      <c r="L18" s="36"/>
      <c r="M18" s="36"/>
      <c r="N18" s="36"/>
    </row>
    <row r="19" spans="1:14" hidden="1">
      <c r="A19" s="5">
        <v>17</v>
      </c>
      <c r="B19" s="9" t="s">
        <v>92</v>
      </c>
      <c r="C19" s="17" t="s">
        <v>94</v>
      </c>
      <c r="D19" s="7" t="s">
        <v>38</v>
      </c>
      <c r="E19" s="36"/>
      <c r="F19" s="36"/>
      <c r="G19" s="36"/>
      <c r="H19" s="36">
        <f t="shared" si="0"/>
        <v>0</v>
      </c>
      <c r="I19" s="37" t="e">
        <f t="shared" si="1"/>
        <v>#DIV/0!</v>
      </c>
      <c r="J19" s="36"/>
      <c r="K19" s="36"/>
      <c r="L19" s="36"/>
      <c r="M19" s="36"/>
      <c r="N19" s="36"/>
    </row>
    <row r="20" spans="1:14">
      <c r="A20" s="5">
        <v>18</v>
      </c>
      <c r="B20" s="6" t="s">
        <v>95</v>
      </c>
      <c r="C20" s="6" t="s">
        <v>96</v>
      </c>
      <c r="D20" s="7" t="s">
        <v>47</v>
      </c>
      <c r="E20" s="36"/>
      <c r="F20" s="36"/>
      <c r="G20" s="36"/>
      <c r="H20" s="36">
        <f t="shared" si="0"/>
        <v>0</v>
      </c>
      <c r="I20" s="37" t="e">
        <f t="shared" si="1"/>
        <v>#DIV/0!</v>
      </c>
      <c r="J20" s="36"/>
      <c r="K20" s="36"/>
      <c r="L20" s="36"/>
      <c r="M20" s="36"/>
      <c r="N20" s="36"/>
    </row>
    <row r="21" spans="1:14">
      <c r="A21" s="5">
        <v>19</v>
      </c>
      <c r="B21" s="6" t="s">
        <v>95</v>
      </c>
      <c r="C21" s="6" t="s">
        <v>99</v>
      </c>
      <c r="D21" s="10" t="s">
        <v>38</v>
      </c>
      <c r="E21" s="36"/>
      <c r="F21" s="36"/>
      <c r="G21" s="36"/>
      <c r="H21" s="36">
        <f t="shared" si="0"/>
        <v>0</v>
      </c>
      <c r="I21" s="37" t="e">
        <f t="shared" si="1"/>
        <v>#DIV/0!</v>
      </c>
      <c r="J21" s="36"/>
      <c r="K21" s="36"/>
      <c r="L21" s="36"/>
      <c r="M21" s="36"/>
      <c r="N21" s="36"/>
    </row>
    <row r="22" spans="1:14">
      <c r="A22" s="5">
        <v>20</v>
      </c>
      <c r="B22" s="6" t="s">
        <v>95</v>
      </c>
      <c r="C22" s="6" t="s">
        <v>101</v>
      </c>
      <c r="D22" s="7" t="s">
        <v>47</v>
      </c>
      <c r="E22" s="36"/>
      <c r="F22" s="36"/>
      <c r="G22" s="36"/>
      <c r="H22" s="36">
        <f t="shared" si="0"/>
        <v>0</v>
      </c>
      <c r="I22" s="37" t="e">
        <f t="shared" si="1"/>
        <v>#DIV/0!</v>
      </c>
      <c r="J22" s="36"/>
      <c r="K22" s="36"/>
      <c r="L22" s="36"/>
      <c r="M22" s="36"/>
      <c r="N22" s="36"/>
    </row>
    <row r="23" spans="1:14">
      <c r="A23" s="5">
        <v>21</v>
      </c>
      <c r="B23" s="6" t="s">
        <v>95</v>
      </c>
      <c r="C23" s="6" t="s">
        <v>102</v>
      </c>
      <c r="D23" s="7" t="s">
        <v>47</v>
      </c>
      <c r="E23" s="36"/>
      <c r="F23" s="36"/>
      <c r="G23" s="36"/>
      <c r="H23" s="36">
        <f t="shared" si="0"/>
        <v>0</v>
      </c>
      <c r="I23" s="37" t="e">
        <f t="shared" si="1"/>
        <v>#DIV/0!</v>
      </c>
      <c r="J23" s="36"/>
      <c r="K23" s="36"/>
      <c r="L23" s="36"/>
      <c r="M23" s="36"/>
      <c r="N23" s="36"/>
    </row>
    <row r="24" spans="1:14">
      <c r="A24" s="5">
        <v>22</v>
      </c>
      <c r="B24" s="6" t="s">
        <v>95</v>
      </c>
      <c r="C24" s="6" t="s">
        <v>103</v>
      </c>
      <c r="D24" s="7" t="s">
        <v>47</v>
      </c>
      <c r="E24" s="36"/>
      <c r="F24" s="36"/>
      <c r="G24" s="36"/>
      <c r="H24" s="36">
        <f t="shared" si="0"/>
        <v>0</v>
      </c>
      <c r="I24" s="37" t="e">
        <f t="shared" si="1"/>
        <v>#DIV/0!</v>
      </c>
      <c r="J24" s="36"/>
      <c r="K24" s="36"/>
      <c r="L24" s="36"/>
      <c r="M24" s="36"/>
      <c r="N24" s="36"/>
    </row>
    <row r="25" spans="1:14">
      <c r="A25" s="5">
        <v>23</v>
      </c>
      <c r="B25" s="6" t="s">
        <v>95</v>
      </c>
      <c r="C25" s="6" t="s">
        <v>104</v>
      </c>
      <c r="D25" s="7" t="s">
        <v>47</v>
      </c>
      <c r="E25" s="36"/>
      <c r="F25" s="36"/>
      <c r="G25" s="36"/>
      <c r="H25" s="36">
        <f t="shared" si="0"/>
        <v>0</v>
      </c>
      <c r="I25" s="37" t="e">
        <f t="shared" si="1"/>
        <v>#DIV/0!</v>
      </c>
      <c r="J25" s="36"/>
      <c r="K25" s="36"/>
      <c r="L25" s="36"/>
      <c r="M25" s="36"/>
      <c r="N25" s="36"/>
    </row>
    <row r="26" spans="1:14">
      <c r="A26" s="5">
        <v>24</v>
      </c>
      <c r="B26" s="6" t="s">
        <v>95</v>
      </c>
      <c r="C26" s="6" t="s">
        <v>105</v>
      </c>
      <c r="D26" s="7" t="s">
        <v>47</v>
      </c>
      <c r="E26" s="36"/>
      <c r="F26" s="36"/>
      <c r="G26" s="36"/>
      <c r="H26" s="36">
        <f t="shared" si="0"/>
        <v>0</v>
      </c>
      <c r="I26" s="37" t="e">
        <f t="shared" si="1"/>
        <v>#DIV/0!</v>
      </c>
      <c r="J26" s="36"/>
      <c r="K26" s="36"/>
      <c r="L26" s="36"/>
      <c r="M26" s="36"/>
      <c r="N26" s="36"/>
    </row>
    <row r="27" spans="1:14">
      <c r="A27" s="5">
        <v>25</v>
      </c>
      <c r="B27" s="6" t="s">
        <v>95</v>
      </c>
      <c r="C27" s="6" t="s">
        <v>106</v>
      </c>
      <c r="D27" s="7" t="s">
        <v>47</v>
      </c>
      <c r="E27" s="36"/>
      <c r="F27" s="36"/>
      <c r="G27" s="36"/>
      <c r="H27" s="36">
        <f t="shared" si="0"/>
        <v>0</v>
      </c>
      <c r="I27" s="37" t="e">
        <f t="shared" si="1"/>
        <v>#DIV/0!</v>
      </c>
      <c r="J27" s="36"/>
      <c r="K27" s="36"/>
      <c r="L27" s="36"/>
      <c r="M27" s="36"/>
      <c r="N27" s="36"/>
    </row>
    <row r="28" spans="1:14">
      <c r="A28" s="5">
        <v>26</v>
      </c>
      <c r="B28" s="6" t="s">
        <v>95</v>
      </c>
      <c r="C28" s="6" t="s">
        <v>107</v>
      </c>
      <c r="D28" s="7" t="s">
        <v>47</v>
      </c>
      <c r="E28" s="36"/>
      <c r="F28" s="36"/>
      <c r="G28" s="36"/>
      <c r="H28" s="36">
        <f t="shared" si="0"/>
        <v>0</v>
      </c>
      <c r="I28" s="37" t="e">
        <f t="shared" si="1"/>
        <v>#DIV/0!</v>
      </c>
      <c r="J28" s="36"/>
      <c r="K28" s="36"/>
      <c r="L28" s="36"/>
      <c r="M28" s="36"/>
      <c r="N28" s="36"/>
    </row>
    <row r="29" spans="1:14">
      <c r="A29" s="5"/>
      <c r="B29" s="6" t="s">
        <v>95</v>
      </c>
      <c r="C29" s="9" t="s">
        <v>108</v>
      </c>
      <c r="D29" s="7" t="s">
        <v>52</v>
      </c>
      <c r="E29" s="36">
        <v>51</v>
      </c>
      <c r="F29" s="36">
        <v>122</v>
      </c>
      <c r="G29" s="36">
        <v>60</v>
      </c>
      <c r="H29" s="36">
        <f t="shared" si="0"/>
        <v>62</v>
      </c>
      <c r="I29" s="37">
        <f t="shared" si="1"/>
        <v>0.50819672131147542</v>
      </c>
      <c r="J29" s="36"/>
      <c r="K29" s="36"/>
      <c r="L29" s="36"/>
      <c r="M29" s="36"/>
      <c r="N29" s="36"/>
    </row>
    <row r="30" spans="1:14">
      <c r="A30" s="5"/>
      <c r="B30" s="6" t="s">
        <v>95</v>
      </c>
      <c r="C30" s="9" t="s">
        <v>109</v>
      </c>
      <c r="D30" s="7" t="s">
        <v>52</v>
      </c>
      <c r="E30" s="36">
        <v>3</v>
      </c>
      <c r="F30" s="36">
        <v>9</v>
      </c>
      <c r="G30" s="36">
        <v>9</v>
      </c>
      <c r="H30" s="36">
        <f t="shared" si="0"/>
        <v>0</v>
      </c>
      <c r="I30" s="37">
        <f t="shared" si="1"/>
        <v>0</v>
      </c>
      <c r="J30" s="36"/>
      <c r="K30" s="36"/>
      <c r="L30" s="36"/>
      <c r="M30" s="36"/>
      <c r="N30" s="36"/>
    </row>
    <row r="31" spans="1:14">
      <c r="A31" s="5">
        <v>37</v>
      </c>
      <c r="B31" s="6" t="s">
        <v>95</v>
      </c>
      <c r="C31" s="9" t="s">
        <v>110</v>
      </c>
      <c r="D31" s="7" t="s">
        <v>52</v>
      </c>
      <c r="E31" s="36">
        <v>3</v>
      </c>
      <c r="F31" s="36">
        <v>53</v>
      </c>
      <c r="G31" s="36">
        <v>53</v>
      </c>
      <c r="H31" s="36">
        <f t="shared" si="0"/>
        <v>0</v>
      </c>
      <c r="I31" s="37">
        <f t="shared" si="1"/>
        <v>0</v>
      </c>
      <c r="J31" s="36">
        <v>2</v>
      </c>
      <c r="K31" s="36">
        <v>56</v>
      </c>
      <c r="L31" s="36">
        <v>56</v>
      </c>
      <c r="M31" s="36">
        <f>(K31-L31)</f>
        <v>0</v>
      </c>
      <c r="N31" s="37">
        <f>(M31/K31)</f>
        <v>0</v>
      </c>
    </row>
    <row r="32" spans="1:14">
      <c r="A32" s="5">
        <v>39</v>
      </c>
      <c r="B32" s="6" t="s">
        <v>95</v>
      </c>
      <c r="C32" s="6" t="s">
        <v>112</v>
      </c>
      <c r="D32" s="7" t="s">
        <v>52</v>
      </c>
      <c r="E32" s="36"/>
      <c r="F32" s="36"/>
      <c r="G32" s="36"/>
      <c r="H32" s="36">
        <f t="shared" si="0"/>
        <v>0</v>
      </c>
      <c r="I32" s="37" t="e">
        <f t="shared" si="1"/>
        <v>#DIV/0!</v>
      </c>
      <c r="J32" s="36"/>
      <c r="K32" s="36"/>
      <c r="L32" s="36"/>
      <c r="M32" s="36"/>
      <c r="N32" s="36"/>
    </row>
    <row r="33" spans="1:14">
      <c r="A33" s="5">
        <v>40</v>
      </c>
      <c r="B33" s="6" t="s">
        <v>95</v>
      </c>
      <c r="C33" s="6" t="s">
        <v>113</v>
      </c>
      <c r="D33" s="7" t="s">
        <v>47</v>
      </c>
      <c r="E33" s="36"/>
      <c r="F33" s="36"/>
      <c r="G33" s="36"/>
      <c r="H33" s="36">
        <f t="shared" si="0"/>
        <v>0</v>
      </c>
      <c r="I33" s="37" t="e">
        <f t="shared" si="1"/>
        <v>#DIV/0!</v>
      </c>
      <c r="J33" s="36"/>
      <c r="K33" s="36"/>
      <c r="L33" s="36"/>
      <c r="M33" s="36"/>
      <c r="N33" s="36"/>
    </row>
    <row r="34" spans="1:14" hidden="1">
      <c r="A34" s="5">
        <v>41</v>
      </c>
      <c r="B34" s="19" t="s">
        <v>114</v>
      </c>
      <c r="C34" s="21" t="s">
        <v>115</v>
      </c>
      <c r="D34" s="19" t="s">
        <v>116</v>
      </c>
      <c r="E34" s="36"/>
      <c r="F34" s="36"/>
      <c r="G34" s="36"/>
      <c r="H34" s="36">
        <f t="shared" si="0"/>
        <v>0</v>
      </c>
      <c r="I34" s="37" t="e">
        <f t="shared" si="1"/>
        <v>#DIV/0!</v>
      </c>
      <c r="J34" s="36"/>
      <c r="K34" s="36"/>
      <c r="L34" s="36"/>
      <c r="M34" s="36"/>
      <c r="N34" s="36"/>
    </row>
    <row r="35" spans="1:14" hidden="1">
      <c r="A35" s="5">
        <v>42</v>
      </c>
      <c r="B35" s="19" t="s">
        <v>114</v>
      </c>
      <c r="C35" s="21" t="s">
        <v>120</v>
      </c>
      <c r="D35" s="19" t="s">
        <v>116</v>
      </c>
      <c r="E35" s="36"/>
      <c r="F35" s="36"/>
      <c r="G35" s="36"/>
      <c r="H35" s="36">
        <f t="shared" si="0"/>
        <v>0</v>
      </c>
      <c r="I35" s="37" t="e">
        <f t="shared" si="1"/>
        <v>#DIV/0!</v>
      </c>
      <c r="J35" s="36"/>
      <c r="K35" s="36"/>
      <c r="L35" s="36"/>
      <c r="M35" s="36"/>
      <c r="N35" s="36"/>
    </row>
    <row r="36" spans="1:14" hidden="1">
      <c r="A36" s="5">
        <v>43</v>
      </c>
      <c r="B36" s="19" t="s">
        <v>114</v>
      </c>
      <c r="C36" s="21" t="s">
        <v>121</v>
      </c>
      <c r="D36" s="19" t="s">
        <v>47</v>
      </c>
      <c r="E36" s="36"/>
      <c r="F36" s="36"/>
      <c r="G36" s="36"/>
      <c r="H36" s="36">
        <f t="shared" si="0"/>
        <v>0</v>
      </c>
      <c r="I36" s="37" t="e">
        <f t="shared" si="1"/>
        <v>#DIV/0!</v>
      </c>
      <c r="J36" s="36"/>
      <c r="K36" s="36"/>
      <c r="L36" s="36"/>
      <c r="M36" s="36"/>
      <c r="N36" s="36"/>
    </row>
    <row r="37" spans="1:14" hidden="1">
      <c r="A37" s="5">
        <v>44</v>
      </c>
      <c r="B37" s="19" t="s">
        <v>114</v>
      </c>
      <c r="C37" s="21" t="s">
        <v>106</v>
      </c>
      <c r="D37" s="19" t="s">
        <v>47</v>
      </c>
      <c r="E37" s="36"/>
      <c r="F37" s="36"/>
      <c r="G37" s="36"/>
      <c r="H37" s="36">
        <f t="shared" si="0"/>
        <v>0</v>
      </c>
      <c r="I37" s="37" t="e">
        <f t="shared" si="1"/>
        <v>#DIV/0!</v>
      </c>
      <c r="J37" s="36"/>
      <c r="K37" s="36"/>
      <c r="L37" s="36"/>
      <c r="M37" s="36"/>
      <c r="N37" s="36"/>
    </row>
    <row r="38" spans="1:14" hidden="1">
      <c r="A38" s="5">
        <v>45</v>
      </c>
      <c r="B38" s="19" t="s">
        <v>114</v>
      </c>
      <c r="C38" s="21" t="s">
        <v>102</v>
      </c>
      <c r="D38" s="19" t="s">
        <v>47</v>
      </c>
      <c r="E38" s="36"/>
      <c r="F38" s="36"/>
      <c r="G38" s="36"/>
      <c r="H38" s="36">
        <f t="shared" si="0"/>
        <v>0</v>
      </c>
      <c r="I38" s="37" t="e">
        <f t="shared" si="1"/>
        <v>#DIV/0!</v>
      </c>
      <c r="J38" s="36"/>
      <c r="K38" s="36"/>
      <c r="L38" s="36"/>
      <c r="M38" s="36"/>
      <c r="N38" s="36"/>
    </row>
    <row r="39" spans="1:14" hidden="1">
      <c r="A39" s="5">
        <v>46</v>
      </c>
      <c r="B39" s="19" t="s">
        <v>114</v>
      </c>
      <c r="C39" s="21" t="s">
        <v>122</v>
      </c>
      <c r="D39" s="19" t="s">
        <v>47</v>
      </c>
      <c r="E39" s="36"/>
      <c r="F39" s="36"/>
      <c r="G39" s="36"/>
      <c r="H39" s="36">
        <f t="shared" si="0"/>
        <v>0</v>
      </c>
      <c r="I39" s="37" t="e">
        <f t="shared" si="1"/>
        <v>#DIV/0!</v>
      </c>
      <c r="J39" s="36"/>
      <c r="K39" s="36"/>
      <c r="L39" s="36"/>
      <c r="M39" s="36"/>
      <c r="N39" s="36"/>
    </row>
    <row r="40" spans="1:14" hidden="1">
      <c r="A40" s="5">
        <v>47</v>
      </c>
      <c r="B40" s="19" t="s">
        <v>114</v>
      </c>
      <c r="C40" s="21" t="s">
        <v>124</v>
      </c>
      <c r="D40" s="19" t="s">
        <v>125</v>
      </c>
      <c r="E40" s="36"/>
      <c r="F40" s="36"/>
      <c r="G40" s="36"/>
      <c r="H40" s="36">
        <f t="shared" si="0"/>
        <v>0</v>
      </c>
      <c r="I40" s="37" t="e">
        <f t="shared" si="1"/>
        <v>#DIV/0!</v>
      </c>
      <c r="J40" s="36"/>
      <c r="K40" s="36"/>
      <c r="L40" s="36"/>
      <c r="M40" s="36"/>
      <c r="N40" s="36"/>
    </row>
    <row r="41" spans="1:14" hidden="1">
      <c r="A41" s="5">
        <v>48</v>
      </c>
      <c r="B41" s="19" t="s">
        <v>114</v>
      </c>
      <c r="C41" s="21" t="s">
        <v>128</v>
      </c>
      <c r="D41" s="19" t="s">
        <v>125</v>
      </c>
      <c r="E41" s="36"/>
      <c r="F41" s="36"/>
      <c r="G41" s="36"/>
      <c r="H41" s="36">
        <f t="shared" si="0"/>
        <v>0</v>
      </c>
      <c r="I41" s="37" t="e">
        <f t="shared" si="1"/>
        <v>#DIV/0!</v>
      </c>
      <c r="J41" s="36"/>
      <c r="K41" s="36"/>
      <c r="L41" s="36"/>
      <c r="M41" s="36"/>
      <c r="N41" s="36"/>
    </row>
    <row r="42" spans="1:14" hidden="1">
      <c r="A42" s="5">
        <v>49</v>
      </c>
      <c r="B42" s="19" t="s">
        <v>114</v>
      </c>
      <c r="C42" s="21" t="s">
        <v>129</v>
      </c>
      <c r="D42" s="19" t="s">
        <v>125</v>
      </c>
      <c r="E42" s="36"/>
      <c r="F42" s="36"/>
      <c r="G42" s="36"/>
      <c r="H42" s="36">
        <f t="shared" si="0"/>
        <v>0</v>
      </c>
      <c r="I42" s="37" t="e">
        <f t="shared" si="1"/>
        <v>#DIV/0!</v>
      </c>
      <c r="J42" s="36"/>
      <c r="K42" s="36"/>
      <c r="L42" s="36"/>
      <c r="M42" s="36"/>
      <c r="N42" s="36"/>
    </row>
    <row r="43" spans="1:14" hidden="1">
      <c r="A43" s="5">
        <v>50</v>
      </c>
      <c r="B43" s="19" t="s">
        <v>114</v>
      </c>
      <c r="C43" s="21" t="s">
        <v>130</v>
      </c>
      <c r="D43" s="19" t="s">
        <v>38</v>
      </c>
      <c r="E43" s="36"/>
      <c r="F43" s="36"/>
      <c r="G43" s="36"/>
      <c r="H43" s="36">
        <f t="shared" si="0"/>
        <v>0</v>
      </c>
      <c r="I43" s="36"/>
      <c r="J43" s="36"/>
      <c r="K43" s="36"/>
      <c r="L43" s="36"/>
      <c r="M43" s="36"/>
      <c r="N43" s="36"/>
    </row>
    <row r="44" spans="1:14" hidden="1">
      <c r="A44" s="5">
        <v>51</v>
      </c>
      <c r="B44" s="19" t="s">
        <v>114</v>
      </c>
      <c r="C44" s="21" t="s">
        <v>131</v>
      </c>
      <c r="D44" s="19" t="s">
        <v>47</v>
      </c>
      <c r="E44" s="36"/>
      <c r="F44" s="36"/>
      <c r="G44" s="36"/>
      <c r="H44" s="36">
        <f t="shared" si="0"/>
        <v>0</v>
      </c>
      <c r="I44" s="36"/>
      <c r="J44" s="36"/>
      <c r="K44" s="36"/>
      <c r="L44" s="36"/>
      <c r="M44" s="36"/>
      <c r="N44" s="36"/>
    </row>
    <row r="45" spans="1:14" hidden="1">
      <c r="A45" s="5">
        <v>52</v>
      </c>
      <c r="B45" s="19" t="s">
        <v>114</v>
      </c>
      <c r="C45" s="21" t="s">
        <v>134</v>
      </c>
      <c r="D45" s="19" t="s">
        <v>38</v>
      </c>
      <c r="E45" s="36"/>
      <c r="F45" s="36"/>
      <c r="G45" s="36"/>
      <c r="H45" s="36">
        <f t="shared" si="0"/>
        <v>0</v>
      </c>
      <c r="I45" s="36"/>
      <c r="J45" s="36"/>
      <c r="K45" s="36"/>
      <c r="L45" s="36"/>
      <c r="M45" s="36"/>
      <c r="N45" s="36"/>
    </row>
    <row r="46" spans="1:14" hidden="1">
      <c r="A46" s="5">
        <v>53</v>
      </c>
      <c r="B46" s="19" t="s">
        <v>114</v>
      </c>
      <c r="C46" s="21" t="s">
        <v>101</v>
      </c>
      <c r="D46" s="19" t="s">
        <v>38</v>
      </c>
      <c r="E46" s="36"/>
      <c r="F46" s="36"/>
      <c r="G46" s="36"/>
      <c r="H46" s="36">
        <f t="shared" si="0"/>
        <v>0</v>
      </c>
      <c r="I46" s="36"/>
      <c r="J46" s="36"/>
      <c r="K46" s="36"/>
      <c r="L46" s="36"/>
      <c r="M46" s="36"/>
      <c r="N46" s="36"/>
    </row>
    <row r="47" spans="1:14" hidden="1">
      <c r="A47" s="5">
        <v>54</v>
      </c>
      <c r="B47" s="19" t="s">
        <v>114</v>
      </c>
      <c r="C47" s="21" t="s">
        <v>135</v>
      </c>
      <c r="D47" s="19" t="s">
        <v>38</v>
      </c>
      <c r="E47" s="36"/>
      <c r="F47" s="36"/>
      <c r="G47" s="36"/>
      <c r="H47" s="36">
        <f t="shared" si="0"/>
        <v>0</v>
      </c>
      <c r="I47" s="36"/>
      <c r="J47" s="36"/>
      <c r="K47" s="36"/>
      <c r="L47" s="36"/>
      <c r="M47" s="36"/>
      <c r="N47" s="36"/>
    </row>
    <row r="48" spans="1:14" hidden="1">
      <c r="A48" s="5">
        <v>55</v>
      </c>
      <c r="B48" s="19" t="s">
        <v>114</v>
      </c>
      <c r="C48" s="21" t="s">
        <v>99</v>
      </c>
      <c r="D48" s="19" t="s">
        <v>38</v>
      </c>
      <c r="E48" s="36"/>
      <c r="F48" s="36"/>
      <c r="G48" s="36"/>
      <c r="H48" s="36"/>
      <c r="I48" s="36"/>
      <c r="J48" s="36"/>
      <c r="K48" s="36"/>
      <c r="L48" s="36"/>
      <c r="M48" s="36"/>
      <c r="N48" s="36"/>
    </row>
    <row r="49" spans="1:14" hidden="1">
      <c r="A49" s="5">
        <v>56</v>
      </c>
      <c r="B49" s="26" t="s">
        <v>136</v>
      </c>
      <c r="C49" s="26" t="s">
        <v>137</v>
      </c>
      <c r="D49" s="26" t="s">
        <v>38</v>
      </c>
      <c r="E49" s="36"/>
      <c r="F49" s="36"/>
      <c r="G49" s="36"/>
      <c r="H49" s="36"/>
      <c r="I49" s="36"/>
      <c r="J49" s="36"/>
      <c r="K49" s="36"/>
      <c r="L49" s="36"/>
      <c r="M49" s="36"/>
      <c r="N49" s="36"/>
    </row>
  </sheetData>
  <autoFilter ref="A2:M49" xr:uid="{A108C833-855A-46C3-A0D7-DB72F4BCAD0F}">
    <filterColumn colId="1">
      <filters>
        <filter val="Recon"/>
      </filters>
    </filterColumn>
  </autoFilter>
  <mergeCells count="3">
    <mergeCell ref="A1:D1"/>
    <mergeCell ref="E1:I1"/>
    <mergeCell ref="J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7"/>
  <sheetViews>
    <sheetView workbookViewId="0">
      <selection activeCell="A24" sqref="A24"/>
    </sheetView>
  </sheetViews>
  <sheetFormatPr defaultColWidth="8.69921875" defaultRowHeight="14.4"/>
  <cols>
    <col min="1" max="1" width="44.69921875" customWidth="1"/>
  </cols>
  <sheetData>
    <row r="1" spans="1:1">
      <c r="A1" s="1" t="s">
        <v>146</v>
      </c>
    </row>
    <row r="2" spans="1:1" ht="14.95">
      <c r="A2" s="2" t="s">
        <v>147</v>
      </c>
    </row>
    <row r="3" spans="1:1" ht="14.95">
      <c r="A3" s="2" t="s">
        <v>148</v>
      </c>
    </row>
    <row r="4" spans="1:1" ht="14.95">
      <c r="A4" s="2" t="s">
        <v>149</v>
      </c>
    </row>
    <row r="5" spans="1:1" ht="14.95">
      <c r="A5" s="2" t="s">
        <v>150</v>
      </c>
    </row>
    <row r="6" spans="1:1" ht="14.95">
      <c r="A6" s="2" t="s">
        <v>151</v>
      </c>
    </row>
    <row r="7" spans="1:1" ht="14.95">
      <c r="A7" s="2" t="s">
        <v>152</v>
      </c>
    </row>
    <row r="8" spans="1:1" ht="14.95">
      <c r="A8" s="2" t="s">
        <v>153</v>
      </c>
    </row>
    <row r="9" spans="1:1" ht="14.95">
      <c r="A9" s="2" t="s">
        <v>154</v>
      </c>
    </row>
    <row r="10" spans="1:1" ht="14.95">
      <c r="A10" s="2" t="s">
        <v>155</v>
      </c>
    </row>
    <row r="11" spans="1:1" ht="14.95">
      <c r="A11" s="2" t="s">
        <v>156</v>
      </c>
    </row>
    <row r="12" spans="1:1" ht="14.95">
      <c r="A12" s="2" t="s">
        <v>157</v>
      </c>
    </row>
    <row r="13" spans="1:1" ht="14.95">
      <c r="A13" s="2" t="s">
        <v>158</v>
      </c>
    </row>
    <row r="14" spans="1:1" ht="14.95">
      <c r="A14" s="2" t="s">
        <v>159</v>
      </c>
    </row>
    <row r="15" spans="1:1" ht="14.95">
      <c r="A15" s="2" t="s">
        <v>160</v>
      </c>
    </row>
    <row r="16" spans="1:1" ht="14.95">
      <c r="A16" s="2" t="s">
        <v>161</v>
      </c>
    </row>
    <row r="17" spans="1:1" ht="14.95">
      <c r="A17" s="2" t="s">
        <v>162</v>
      </c>
    </row>
  </sheetData>
  <pageMargins left="0.75" right="0.75" top="1" bottom="1" header="0.51180555555555596" footer="0.5118055555555559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33DA36401BE546811236D59E0A17D9" ma:contentTypeVersion="33" ma:contentTypeDescription="Create a new document." ma:contentTypeScope="" ma:versionID="3dca0197787c843af987d4c78a393d97">
  <xsd:schema xmlns:xsd="http://www.w3.org/2001/XMLSchema" xmlns:xs="http://www.w3.org/2001/XMLSchema" xmlns:p="http://schemas.microsoft.com/office/2006/metadata/properties" xmlns:ns1="http://schemas.microsoft.com/sharepoint/v3" xmlns:ns2="404e042f-6bda-4f9c-901f-f2bbe16a2256" xmlns:ns3="3ace4a0d-91d8-48e8-a526-5052af745971" targetNamespace="http://schemas.microsoft.com/office/2006/metadata/properties" ma:root="true" ma:fieldsID="c864d7ed47aad85ad083b4bab1e0e75c" ns1:_="" ns2:_="" ns3:_="">
    <xsd:import namespace="http://schemas.microsoft.com/sharepoint/v3"/>
    <xsd:import namespace="404e042f-6bda-4f9c-901f-f2bbe16a2256"/>
    <xsd:import namespace="3ace4a0d-91d8-48e8-a526-5052af7459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JNK" minOccurs="0"/>
                <xsd:element ref="ns2:Total_x0020_File_x0020_count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Date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  <xsd:element ref="ns2:lcf76f155ced4ddcb4097134ff3c332f" minOccurs="0"/>
                <xsd:element ref="ns2:Modified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4e042f-6bda-4f9c-901f-f2bbe16a22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JNK" ma:index="17" nillable="true" ma:displayName="JNK" ma:description="CR: Multiple VMN Change" ma:internalName="JNK">
      <xsd:simpleType>
        <xsd:restriction base="dms:Text">
          <xsd:maxLength value="255"/>
        </xsd:restriction>
      </xsd:simpleType>
    </xsd:element>
    <xsd:element name="Total_x0020_File_x0020_count" ma:index="18" nillable="true" ma:displayName="Total File count" ma:description="Total File count" ma:internalName="Total_x0020_File_x0020_count">
      <xsd:simpleType>
        <xsd:restriction base="dms:Number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" ma:index="26" nillable="true" ma:displayName="Date" ma:format="DateOnly" ma:internalName="Date">
      <xsd:simpleType>
        <xsd:restriction base="dms:DateTim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31" nillable="true" ma:taxonomy="true" ma:internalName="lcf76f155ced4ddcb4097134ff3c332f" ma:taxonomyFieldName="MediaServiceImageTags" ma:displayName="Image Tags" ma:readOnly="false" ma:fieldId="{5cf76f15-5ced-4ddc-b409-7134ff3c332f}" ma:taxonomyMulti="true" ma:sspId="76f30a3b-576f-4e05-9669-916485bbc8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odifiedDate" ma:index="32" nillable="true" ma:displayName="Modified Date" ma:format="DateTime" ma:internalName="Modified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ce4a0d-91d8-48e8-a526-5052af745971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0b0bed1-2a4d-4ea0-9de1-a512930ad278}" ma:internalName="TaxCatchAll" ma:showField="CatchAllData" ma:web="3ace4a0d-91d8-48e8-a526-5052af7459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ace4a0d-91d8-48e8-a526-5052af745971" xsi:nil="true"/>
    <Date xmlns="404e042f-6bda-4f9c-901f-f2bbe16a2256" xsi:nil="true"/>
    <_ip_UnifiedCompliancePolicyUIAction xmlns="http://schemas.microsoft.com/sharepoint/v3" xsi:nil="true"/>
    <JNK xmlns="404e042f-6bda-4f9c-901f-f2bbe16a2256" xsi:nil="true"/>
    <_ip_UnifiedCompliancePolicyProperties xmlns="http://schemas.microsoft.com/sharepoint/v3" xsi:nil="true"/>
    <Total_x0020_File_x0020_count xmlns="404e042f-6bda-4f9c-901f-f2bbe16a2256" xsi:nil="true"/>
    <ModifiedDate xmlns="404e042f-6bda-4f9c-901f-f2bbe16a2256" xsi:nil="true"/>
    <lcf76f155ced4ddcb4097134ff3c332f xmlns="404e042f-6bda-4f9c-901f-f2bbe16a22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DF06B5B-173C-4E7C-BC80-10128B9967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04e042f-6bda-4f9c-901f-f2bbe16a2256"/>
    <ds:schemaRef ds:uri="3ace4a0d-91d8-48e8-a526-5052af7459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1A41C7C-5FEB-4A82-B256-915E20B69D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9FB00EC-E9DC-47EA-A0DF-1B2CE36632F3}">
  <ds:schemaRefs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schemas.microsoft.com/sharepoint/v3"/>
    <ds:schemaRef ds:uri="http://purl.org/dc/dcmitype/"/>
    <ds:schemaRef ds:uri="http://schemas.microsoft.com/office/infopath/2007/PartnerControls"/>
    <ds:schemaRef ds:uri="http://schemas.microsoft.com/office/2006/metadata/properties"/>
    <ds:schemaRef ds:uri="3ace4a0d-91d8-48e8-a526-5052af745971"/>
    <ds:schemaRef ds:uri="404e042f-6bda-4f9c-901f-f2bbe16a2256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Nexus One Savings</vt:lpstr>
      <vt:lpstr>Pipeline CR's</vt:lpstr>
      <vt:lpstr>Common Automation Challenges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Shivakumar M</dc:creator>
  <cp:keywords/>
  <dc:description/>
  <cp:lastModifiedBy>Shivakumar M</cp:lastModifiedBy>
  <cp:revision/>
  <dcterms:created xsi:type="dcterms:W3CDTF">2026-10-11T08:03:00Z</dcterms:created>
  <dcterms:modified xsi:type="dcterms:W3CDTF">2026-10-23T13:24:57Z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2057-10.1.0.5795</vt:lpwstr>
  </property>
  <property fmtid="{D5CDD505-2E9C-101B-9397-08002B2CF9AE}" pid="3" name="ContentTypeId">
    <vt:lpwstr>0x0101003633DA36401BE546811236D59E0A17D9</vt:lpwstr>
  </property>
  <property fmtid="{D5CDD505-2E9C-101B-9397-08002B2CF9AE}" pid="4" name="MediaServiceImageTags">
    <vt:lpwstr/>
  </property>
</Properties>
</file>